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EGrad2022\MIT Dropbox\Raghav Acharya\Raghav Lab Ops\Paper Preparation Folders\Metabolic Upregulation, Paper 1\Raw Data\02 Round 2 - Multimolecule FSEOF\"/>
    </mc:Choice>
  </mc:AlternateContent>
  <xr:revisionPtr revIDLastSave="0" documentId="13_ncr:1_{BC4A98B2-11D6-46B3-BD7C-50C62468FB32}" xr6:coauthVersionLast="47" xr6:coauthVersionMax="47" xr10:uidLastSave="{00000000-0000-0000-0000-000000000000}"/>
  <bookViews>
    <workbookView xWindow="0" yWindow="0" windowWidth="23040" windowHeight="8940" xr2:uid="{FA273B9F-6B5A-42AF-A604-0D39AC0813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3" i="1" l="1"/>
  <c r="L263" i="1"/>
  <c r="J263" i="1"/>
  <c r="H263" i="1"/>
  <c r="N262" i="1"/>
  <c r="L262" i="1"/>
  <c r="J262" i="1"/>
  <c r="H262" i="1"/>
  <c r="N261" i="1"/>
  <c r="L261" i="1"/>
  <c r="J261" i="1"/>
  <c r="H261" i="1"/>
  <c r="N260" i="1"/>
  <c r="L260" i="1"/>
  <c r="J260" i="1"/>
  <c r="H260" i="1"/>
  <c r="N259" i="1"/>
  <c r="L259" i="1"/>
  <c r="J259" i="1"/>
  <c r="H259" i="1"/>
  <c r="N258" i="1"/>
  <c r="L258" i="1"/>
  <c r="J258" i="1"/>
  <c r="H258" i="1"/>
  <c r="N257" i="1"/>
  <c r="L257" i="1"/>
  <c r="J257" i="1"/>
  <c r="H257" i="1"/>
  <c r="N256" i="1"/>
  <c r="L256" i="1"/>
  <c r="J256" i="1"/>
  <c r="H256" i="1"/>
  <c r="N255" i="1"/>
  <c r="L255" i="1"/>
  <c r="J255" i="1"/>
  <c r="H255" i="1"/>
  <c r="N254" i="1"/>
  <c r="L254" i="1"/>
  <c r="J254" i="1"/>
  <c r="H254" i="1"/>
  <c r="N253" i="1"/>
  <c r="L253" i="1"/>
  <c r="J253" i="1"/>
  <c r="H253" i="1"/>
  <c r="N252" i="1"/>
  <c r="L252" i="1"/>
  <c r="J252" i="1"/>
  <c r="H252" i="1"/>
  <c r="N251" i="1"/>
  <c r="L251" i="1"/>
  <c r="J251" i="1"/>
  <c r="H251" i="1"/>
  <c r="N250" i="1"/>
  <c r="L250" i="1"/>
  <c r="J250" i="1"/>
  <c r="H250" i="1"/>
  <c r="N249" i="1"/>
  <c r="L249" i="1"/>
  <c r="J249" i="1"/>
  <c r="H249" i="1"/>
  <c r="N248" i="1"/>
  <c r="L248" i="1"/>
  <c r="J248" i="1"/>
  <c r="H248" i="1"/>
  <c r="N247" i="1"/>
  <c r="L247" i="1"/>
  <c r="J247" i="1"/>
  <c r="H247" i="1"/>
  <c r="N246" i="1"/>
  <c r="L246" i="1"/>
  <c r="J246" i="1"/>
  <c r="H246" i="1"/>
  <c r="N245" i="1"/>
  <c r="L245" i="1"/>
  <c r="J245" i="1"/>
  <c r="H245" i="1"/>
  <c r="N244" i="1"/>
  <c r="L244" i="1"/>
  <c r="J244" i="1"/>
  <c r="H244" i="1"/>
  <c r="N243" i="1"/>
  <c r="L243" i="1"/>
  <c r="J243" i="1"/>
  <c r="H243" i="1"/>
  <c r="N242" i="1"/>
  <c r="L242" i="1"/>
  <c r="J242" i="1"/>
  <c r="H242" i="1"/>
  <c r="N241" i="1"/>
  <c r="L241" i="1"/>
  <c r="J241" i="1"/>
  <c r="H241" i="1"/>
  <c r="N240" i="1"/>
  <c r="L240" i="1"/>
  <c r="J240" i="1"/>
  <c r="H240" i="1"/>
  <c r="N239" i="1"/>
  <c r="L239" i="1"/>
  <c r="J239" i="1"/>
  <c r="H239" i="1"/>
  <c r="N238" i="1"/>
  <c r="L238" i="1"/>
  <c r="J238" i="1"/>
  <c r="H238" i="1"/>
  <c r="N237" i="1"/>
  <c r="L237" i="1"/>
  <c r="J237" i="1"/>
  <c r="H237" i="1"/>
  <c r="N236" i="1"/>
  <c r="L236" i="1"/>
  <c r="J236" i="1"/>
  <c r="H236" i="1"/>
  <c r="N235" i="1"/>
  <c r="L235" i="1"/>
  <c r="J235" i="1"/>
  <c r="H235" i="1"/>
  <c r="N234" i="1"/>
  <c r="L234" i="1"/>
  <c r="J234" i="1"/>
  <c r="H234" i="1"/>
  <c r="N233" i="1"/>
  <c r="L233" i="1"/>
  <c r="J233" i="1"/>
  <c r="H233" i="1"/>
  <c r="N232" i="1"/>
  <c r="L232" i="1"/>
  <c r="J232" i="1"/>
  <c r="H232" i="1"/>
  <c r="N231" i="1"/>
  <c r="L231" i="1"/>
  <c r="J231" i="1"/>
  <c r="H231" i="1"/>
  <c r="N230" i="1"/>
  <c r="L230" i="1"/>
  <c r="J230" i="1"/>
  <c r="H230" i="1"/>
  <c r="N229" i="1"/>
  <c r="L229" i="1"/>
  <c r="J229" i="1"/>
  <c r="H229" i="1"/>
  <c r="N228" i="1"/>
  <c r="L228" i="1"/>
  <c r="J228" i="1"/>
  <c r="H228" i="1"/>
  <c r="N227" i="1"/>
  <c r="L227" i="1"/>
  <c r="J227" i="1"/>
  <c r="H227" i="1"/>
  <c r="N226" i="1"/>
  <c r="L226" i="1"/>
  <c r="J226" i="1"/>
  <c r="H226" i="1"/>
  <c r="N225" i="1"/>
  <c r="L225" i="1"/>
  <c r="J225" i="1"/>
  <c r="H225" i="1"/>
  <c r="N224" i="1"/>
  <c r="L224" i="1"/>
  <c r="J224" i="1"/>
  <c r="H224" i="1"/>
  <c r="N223" i="1"/>
  <c r="L223" i="1"/>
  <c r="J223" i="1"/>
  <c r="H223" i="1"/>
  <c r="N222" i="1"/>
  <c r="L222" i="1"/>
  <c r="J222" i="1"/>
  <c r="H222" i="1"/>
  <c r="N221" i="1"/>
  <c r="L221" i="1"/>
  <c r="J221" i="1"/>
  <c r="H221" i="1"/>
  <c r="N220" i="1"/>
  <c r="L220" i="1"/>
  <c r="J220" i="1"/>
  <c r="H220" i="1"/>
  <c r="N219" i="1"/>
  <c r="L219" i="1"/>
  <c r="J219" i="1"/>
  <c r="H219" i="1"/>
  <c r="N218" i="1"/>
  <c r="L218" i="1"/>
  <c r="J218" i="1"/>
  <c r="H218" i="1"/>
  <c r="N217" i="1"/>
  <c r="L217" i="1"/>
  <c r="J217" i="1"/>
  <c r="H217" i="1"/>
  <c r="N216" i="1"/>
  <c r="L216" i="1"/>
  <c r="J216" i="1"/>
  <c r="H216" i="1"/>
  <c r="N215" i="1"/>
  <c r="L215" i="1"/>
  <c r="J215" i="1"/>
  <c r="H215" i="1"/>
  <c r="N214" i="1"/>
  <c r="L214" i="1"/>
  <c r="J214" i="1"/>
  <c r="H214" i="1"/>
  <c r="N213" i="1"/>
  <c r="L213" i="1"/>
  <c r="J213" i="1"/>
  <c r="H213" i="1"/>
  <c r="N212" i="1"/>
  <c r="L212" i="1"/>
  <c r="J212" i="1"/>
  <c r="H212" i="1"/>
  <c r="N211" i="1"/>
  <c r="L211" i="1"/>
  <c r="J211" i="1"/>
  <c r="H211" i="1"/>
  <c r="N210" i="1"/>
  <c r="L210" i="1"/>
  <c r="J210" i="1"/>
  <c r="H210" i="1"/>
  <c r="N209" i="1"/>
  <c r="L209" i="1"/>
  <c r="J209" i="1"/>
  <c r="H209" i="1"/>
  <c r="N208" i="1"/>
  <c r="L208" i="1"/>
  <c r="J208" i="1"/>
  <c r="H208" i="1"/>
  <c r="N207" i="1"/>
  <c r="L207" i="1"/>
  <c r="J207" i="1"/>
  <c r="H207" i="1"/>
  <c r="N206" i="1"/>
  <c r="L206" i="1"/>
  <c r="J206" i="1"/>
  <c r="H206" i="1"/>
  <c r="N205" i="1"/>
  <c r="L205" i="1"/>
  <c r="J205" i="1"/>
  <c r="H205" i="1"/>
  <c r="N204" i="1"/>
  <c r="L204" i="1"/>
  <c r="J204" i="1"/>
  <c r="H204" i="1"/>
  <c r="N203" i="1"/>
  <c r="L203" i="1"/>
  <c r="J203" i="1"/>
  <c r="H203" i="1"/>
  <c r="N202" i="1"/>
  <c r="L202" i="1"/>
  <c r="J202" i="1"/>
  <c r="H202" i="1"/>
  <c r="N201" i="1"/>
  <c r="L201" i="1"/>
  <c r="J201" i="1"/>
  <c r="H201" i="1"/>
  <c r="N200" i="1"/>
  <c r="L200" i="1"/>
  <c r="J200" i="1"/>
  <c r="H200" i="1"/>
  <c r="N199" i="1"/>
  <c r="L199" i="1"/>
  <c r="J199" i="1"/>
  <c r="H199" i="1"/>
  <c r="N198" i="1"/>
  <c r="L198" i="1"/>
  <c r="J198" i="1"/>
  <c r="H198" i="1"/>
  <c r="N197" i="1"/>
  <c r="L197" i="1"/>
  <c r="J197" i="1"/>
  <c r="H197" i="1"/>
  <c r="N196" i="1"/>
  <c r="L196" i="1"/>
  <c r="J196" i="1"/>
  <c r="H196" i="1"/>
  <c r="N195" i="1"/>
  <c r="L195" i="1"/>
  <c r="J195" i="1"/>
  <c r="H195" i="1"/>
  <c r="N194" i="1"/>
  <c r="L194" i="1"/>
  <c r="J194" i="1"/>
  <c r="H194" i="1"/>
  <c r="N193" i="1"/>
  <c r="L193" i="1"/>
  <c r="J193" i="1"/>
  <c r="H193" i="1"/>
  <c r="N192" i="1"/>
  <c r="L192" i="1"/>
  <c r="J192" i="1"/>
  <c r="H192" i="1"/>
  <c r="N191" i="1"/>
  <c r="L191" i="1"/>
  <c r="J191" i="1"/>
  <c r="H191" i="1"/>
  <c r="N190" i="1"/>
  <c r="L190" i="1"/>
  <c r="J190" i="1"/>
  <c r="H190" i="1"/>
  <c r="N189" i="1"/>
  <c r="L189" i="1"/>
  <c r="J189" i="1"/>
  <c r="H189" i="1"/>
  <c r="N188" i="1"/>
  <c r="L188" i="1"/>
  <c r="J188" i="1"/>
  <c r="H188" i="1"/>
  <c r="N187" i="1"/>
  <c r="L187" i="1"/>
  <c r="J187" i="1"/>
  <c r="H187" i="1"/>
  <c r="N186" i="1"/>
  <c r="L186" i="1"/>
  <c r="J186" i="1"/>
  <c r="H186" i="1"/>
  <c r="N185" i="1"/>
  <c r="L185" i="1"/>
  <c r="J185" i="1"/>
  <c r="H185" i="1"/>
  <c r="N184" i="1"/>
  <c r="L184" i="1"/>
  <c r="J184" i="1"/>
  <c r="H184" i="1"/>
  <c r="N183" i="1"/>
  <c r="L183" i="1"/>
  <c r="J183" i="1"/>
  <c r="H183" i="1"/>
  <c r="N182" i="1"/>
  <c r="L182" i="1"/>
  <c r="J182" i="1"/>
  <c r="H182" i="1"/>
  <c r="N181" i="1"/>
  <c r="L181" i="1"/>
  <c r="J181" i="1"/>
  <c r="H181" i="1"/>
  <c r="N180" i="1"/>
  <c r="L180" i="1"/>
  <c r="J180" i="1"/>
  <c r="H180" i="1"/>
  <c r="N179" i="1"/>
  <c r="L179" i="1"/>
  <c r="J179" i="1"/>
  <c r="H179" i="1"/>
  <c r="N178" i="1"/>
  <c r="L178" i="1"/>
  <c r="J178" i="1"/>
  <c r="H178" i="1"/>
  <c r="N177" i="1"/>
  <c r="L177" i="1"/>
  <c r="J177" i="1"/>
  <c r="H177" i="1"/>
  <c r="N176" i="1"/>
  <c r="L176" i="1"/>
  <c r="J176" i="1"/>
  <c r="H176" i="1"/>
  <c r="N175" i="1"/>
  <c r="L175" i="1"/>
  <c r="J175" i="1"/>
  <c r="H175" i="1"/>
  <c r="N174" i="1"/>
  <c r="L174" i="1"/>
  <c r="J174" i="1"/>
  <c r="H174" i="1"/>
  <c r="N173" i="1"/>
  <c r="L173" i="1"/>
  <c r="J173" i="1"/>
  <c r="H173" i="1"/>
  <c r="N172" i="1"/>
  <c r="L172" i="1"/>
  <c r="J172" i="1"/>
  <c r="H172" i="1"/>
  <c r="N171" i="1"/>
  <c r="L171" i="1"/>
  <c r="J171" i="1"/>
  <c r="H171" i="1"/>
  <c r="N170" i="1"/>
  <c r="L170" i="1"/>
  <c r="J170" i="1"/>
  <c r="H170" i="1"/>
  <c r="N169" i="1"/>
  <c r="L169" i="1"/>
  <c r="J169" i="1"/>
  <c r="H169" i="1"/>
  <c r="N168" i="1"/>
  <c r="L168" i="1"/>
  <c r="J168" i="1"/>
  <c r="H168" i="1"/>
  <c r="N167" i="1"/>
  <c r="L167" i="1"/>
  <c r="J167" i="1"/>
  <c r="H167" i="1"/>
  <c r="N166" i="1"/>
  <c r="L166" i="1"/>
  <c r="J166" i="1"/>
  <c r="H166" i="1"/>
  <c r="N165" i="1"/>
  <c r="L165" i="1"/>
  <c r="J165" i="1"/>
  <c r="H165" i="1"/>
  <c r="N164" i="1"/>
  <c r="L164" i="1"/>
  <c r="J164" i="1"/>
  <c r="H164" i="1"/>
  <c r="N163" i="1"/>
  <c r="L163" i="1"/>
  <c r="J163" i="1"/>
  <c r="H163" i="1"/>
  <c r="N162" i="1"/>
  <c r="L162" i="1"/>
  <c r="J162" i="1"/>
  <c r="H162" i="1"/>
  <c r="N161" i="1"/>
  <c r="L161" i="1"/>
  <c r="J161" i="1"/>
  <c r="H161" i="1"/>
  <c r="N160" i="1"/>
  <c r="L160" i="1"/>
  <c r="J160" i="1"/>
  <c r="H160" i="1"/>
  <c r="N159" i="1"/>
  <c r="L159" i="1"/>
  <c r="J159" i="1"/>
  <c r="H159" i="1"/>
  <c r="N158" i="1"/>
  <c r="L158" i="1"/>
  <c r="J158" i="1"/>
  <c r="H158" i="1"/>
  <c r="N157" i="1"/>
  <c r="L157" i="1"/>
  <c r="J157" i="1"/>
  <c r="H157" i="1"/>
  <c r="N156" i="1"/>
  <c r="L156" i="1"/>
  <c r="J156" i="1"/>
  <c r="H156" i="1"/>
  <c r="N155" i="1"/>
  <c r="L155" i="1"/>
  <c r="J155" i="1"/>
  <c r="H155" i="1"/>
  <c r="N154" i="1"/>
  <c r="L154" i="1"/>
  <c r="J154" i="1"/>
  <c r="H154" i="1"/>
  <c r="N153" i="1"/>
  <c r="L153" i="1"/>
  <c r="J153" i="1"/>
  <c r="H153" i="1"/>
  <c r="N152" i="1"/>
  <c r="L152" i="1"/>
  <c r="J152" i="1"/>
  <c r="H152" i="1"/>
  <c r="N151" i="1"/>
  <c r="L151" i="1"/>
  <c r="J151" i="1"/>
  <c r="H151" i="1"/>
  <c r="N150" i="1"/>
  <c r="L150" i="1"/>
  <c r="J150" i="1"/>
  <c r="H150" i="1"/>
  <c r="N149" i="1"/>
  <c r="L149" i="1"/>
  <c r="J149" i="1"/>
  <c r="H149" i="1"/>
  <c r="N148" i="1"/>
  <c r="L148" i="1"/>
  <c r="J148" i="1"/>
  <c r="H148" i="1"/>
  <c r="N147" i="1"/>
  <c r="L147" i="1"/>
  <c r="J147" i="1"/>
  <c r="H147" i="1"/>
  <c r="N146" i="1"/>
  <c r="L146" i="1"/>
  <c r="J146" i="1"/>
  <c r="H146" i="1"/>
  <c r="N145" i="1"/>
  <c r="L145" i="1"/>
  <c r="J145" i="1"/>
  <c r="H145" i="1"/>
  <c r="N144" i="1"/>
  <c r="L144" i="1"/>
  <c r="J144" i="1"/>
  <c r="H144" i="1"/>
  <c r="N143" i="1"/>
  <c r="L143" i="1"/>
  <c r="J143" i="1"/>
  <c r="H143" i="1"/>
  <c r="N142" i="1"/>
  <c r="L142" i="1"/>
  <c r="J142" i="1"/>
  <c r="H142" i="1"/>
  <c r="N141" i="1"/>
  <c r="L141" i="1"/>
  <c r="J141" i="1"/>
  <c r="H141" i="1"/>
  <c r="N140" i="1"/>
  <c r="L140" i="1"/>
  <c r="J140" i="1"/>
  <c r="H140" i="1"/>
  <c r="N139" i="1"/>
  <c r="L139" i="1"/>
  <c r="J139" i="1"/>
  <c r="H139" i="1"/>
  <c r="N138" i="1"/>
  <c r="L138" i="1"/>
  <c r="J138" i="1"/>
  <c r="H138" i="1"/>
  <c r="N137" i="1"/>
  <c r="L137" i="1"/>
  <c r="J137" i="1"/>
  <c r="H137" i="1"/>
  <c r="N136" i="1"/>
  <c r="L136" i="1"/>
  <c r="J136" i="1"/>
  <c r="H136" i="1"/>
  <c r="N135" i="1"/>
  <c r="L135" i="1"/>
  <c r="J135" i="1"/>
  <c r="H135" i="1"/>
  <c r="N134" i="1"/>
  <c r="L134" i="1"/>
  <c r="J134" i="1"/>
  <c r="H134" i="1"/>
  <c r="N133" i="1"/>
  <c r="L133" i="1"/>
  <c r="J133" i="1"/>
  <c r="H133" i="1"/>
  <c r="N132" i="1"/>
  <c r="L132" i="1"/>
  <c r="J132" i="1"/>
  <c r="H132" i="1"/>
  <c r="N131" i="1"/>
  <c r="L131" i="1"/>
  <c r="J131" i="1"/>
  <c r="H131" i="1"/>
  <c r="N130" i="1"/>
  <c r="L130" i="1"/>
  <c r="J130" i="1"/>
  <c r="H130" i="1"/>
  <c r="N129" i="1"/>
  <c r="L129" i="1"/>
  <c r="J129" i="1"/>
  <c r="H129" i="1"/>
  <c r="N128" i="1"/>
  <c r="L128" i="1"/>
  <c r="J128" i="1"/>
  <c r="H128" i="1"/>
  <c r="N127" i="1"/>
  <c r="L127" i="1"/>
  <c r="J127" i="1"/>
  <c r="H127" i="1"/>
  <c r="N126" i="1"/>
  <c r="L126" i="1"/>
  <c r="J126" i="1"/>
  <c r="H126" i="1"/>
  <c r="N125" i="1"/>
  <c r="L125" i="1"/>
  <c r="J125" i="1"/>
  <c r="H125" i="1"/>
  <c r="N124" i="1"/>
  <c r="L124" i="1"/>
  <c r="J124" i="1"/>
  <c r="H124" i="1"/>
  <c r="N123" i="1"/>
  <c r="L123" i="1"/>
  <c r="J123" i="1"/>
  <c r="H123" i="1"/>
  <c r="N122" i="1"/>
  <c r="L122" i="1"/>
  <c r="J122" i="1"/>
  <c r="H122" i="1"/>
  <c r="N121" i="1"/>
  <c r="L121" i="1"/>
  <c r="J121" i="1"/>
  <c r="H121" i="1"/>
  <c r="N120" i="1"/>
  <c r="L120" i="1"/>
  <c r="J120" i="1"/>
  <c r="H120" i="1"/>
  <c r="N119" i="1"/>
  <c r="L119" i="1"/>
  <c r="J119" i="1"/>
  <c r="H119" i="1"/>
  <c r="N118" i="1"/>
  <c r="L118" i="1"/>
  <c r="J118" i="1"/>
  <c r="H118" i="1"/>
  <c r="N117" i="1"/>
  <c r="L117" i="1"/>
  <c r="J117" i="1"/>
  <c r="H117" i="1"/>
  <c r="N116" i="1"/>
  <c r="L116" i="1"/>
  <c r="J116" i="1"/>
  <c r="H116" i="1"/>
  <c r="N115" i="1"/>
  <c r="L115" i="1"/>
  <c r="J115" i="1"/>
  <c r="H115" i="1"/>
  <c r="N114" i="1"/>
  <c r="L114" i="1"/>
  <c r="J114" i="1"/>
  <c r="H114" i="1"/>
  <c r="N113" i="1"/>
  <c r="L113" i="1"/>
  <c r="J113" i="1"/>
  <c r="H113" i="1"/>
  <c r="N112" i="1"/>
  <c r="L112" i="1"/>
  <c r="J112" i="1"/>
  <c r="H112" i="1"/>
  <c r="N111" i="1"/>
  <c r="L111" i="1"/>
  <c r="J111" i="1"/>
  <c r="H111" i="1"/>
  <c r="N110" i="1"/>
  <c r="L110" i="1"/>
  <c r="J110" i="1"/>
  <c r="H110" i="1"/>
  <c r="N109" i="1"/>
  <c r="L109" i="1"/>
  <c r="J109" i="1"/>
  <c r="H109" i="1"/>
  <c r="N108" i="1"/>
  <c r="L108" i="1"/>
  <c r="J108" i="1"/>
  <c r="H108" i="1"/>
  <c r="N107" i="1"/>
  <c r="L107" i="1"/>
  <c r="J107" i="1"/>
  <c r="H107" i="1"/>
  <c r="N106" i="1"/>
  <c r="L106" i="1"/>
  <c r="J106" i="1"/>
  <c r="H106" i="1"/>
  <c r="N105" i="1"/>
  <c r="L105" i="1"/>
  <c r="J105" i="1"/>
  <c r="H105" i="1"/>
  <c r="N104" i="1"/>
  <c r="L104" i="1"/>
  <c r="J104" i="1"/>
  <c r="H104" i="1"/>
  <c r="N103" i="1"/>
  <c r="L103" i="1"/>
  <c r="J103" i="1"/>
  <c r="H103" i="1"/>
  <c r="N102" i="1"/>
  <c r="L102" i="1"/>
  <c r="J102" i="1"/>
  <c r="H102" i="1"/>
  <c r="N101" i="1"/>
  <c r="L101" i="1"/>
  <c r="J101" i="1"/>
  <c r="H101" i="1"/>
  <c r="N100" i="1"/>
  <c r="L100" i="1"/>
  <c r="J100" i="1"/>
  <c r="H100" i="1"/>
  <c r="N99" i="1"/>
  <c r="L99" i="1"/>
  <c r="J99" i="1"/>
  <c r="H99" i="1"/>
  <c r="N98" i="1"/>
  <c r="L98" i="1"/>
  <c r="J98" i="1"/>
  <c r="H98" i="1"/>
  <c r="N97" i="1"/>
  <c r="L97" i="1"/>
  <c r="J97" i="1"/>
  <c r="H97" i="1"/>
  <c r="N96" i="1"/>
  <c r="L96" i="1"/>
  <c r="J96" i="1"/>
  <c r="H96" i="1"/>
  <c r="N95" i="1"/>
  <c r="L95" i="1"/>
  <c r="J95" i="1"/>
  <c r="H95" i="1"/>
  <c r="N94" i="1"/>
  <c r="L94" i="1"/>
  <c r="J94" i="1"/>
  <c r="H94" i="1"/>
  <c r="N93" i="1"/>
  <c r="L93" i="1"/>
  <c r="J93" i="1"/>
  <c r="H93" i="1"/>
  <c r="N92" i="1"/>
  <c r="L92" i="1"/>
  <c r="J92" i="1"/>
  <c r="H92" i="1"/>
  <c r="N91" i="1"/>
  <c r="L91" i="1"/>
  <c r="J91" i="1"/>
  <c r="H91" i="1"/>
  <c r="N90" i="1"/>
  <c r="L90" i="1"/>
  <c r="J90" i="1"/>
  <c r="H90" i="1"/>
  <c r="N89" i="1"/>
  <c r="L89" i="1"/>
  <c r="J89" i="1"/>
  <c r="H89" i="1"/>
  <c r="N88" i="1"/>
  <c r="L88" i="1"/>
  <c r="J88" i="1"/>
  <c r="H88" i="1"/>
  <c r="N87" i="1"/>
  <c r="L87" i="1"/>
  <c r="J87" i="1"/>
  <c r="H87" i="1"/>
  <c r="N86" i="1"/>
  <c r="L86" i="1"/>
  <c r="J86" i="1"/>
  <c r="H86" i="1"/>
  <c r="N85" i="1"/>
  <c r="L85" i="1"/>
  <c r="J85" i="1"/>
  <c r="H85" i="1"/>
  <c r="N84" i="1"/>
  <c r="L84" i="1"/>
  <c r="J84" i="1"/>
  <c r="H84" i="1"/>
  <c r="N83" i="1"/>
  <c r="L83" i="1"/>
  <c r="J83" i="1"/>
  <c r="H83" i="1"/>
  <c r="N82" i="1"/>
  <c r="L82" i="1"/>
  <c r="J82" i="1"/>
  <c r="H82" i="1"/>
  <c r="N81" i="1"/>
  <c r="L81" i="1"/>
  <c r="J81" i="1"/>
  <c r="H81" i="1"/>
  <c r="N80" i="1"/>
  <c r="L80" i="1"/>
  <c r="J80" i="1"/>
  <c r="H80" i="1"/>
  <c r="N79" i="1"/>
  <c r="L79" i="1"/>
  <c r="J79" i="1"/>
  <c r="H79" i="1"/>
  <c r="N78" i="1"/>
  <c r="L78" i="1"/>
  <c r="J78" i="1"/>
  <c r="H78" i="1"/>
  <c r="N77" i="1"/>
  <c r="L77" i="1"/>
  <c r="J77" i="1"/>
  <c r="H77" i="1"/>
  <c r="N76" i="1"/>
  <c r="L76" i="1"/>
  <c r="J76" i="1"/>
  <c r="H76" i="1"/>
  <c r="N75" i="1"/>
  <c r="L75" i="1"/>
  <c r="J75" i="1"/>
  <c r="H75" i="1"/>
  <c r="N74" i="1"/>
  <c r="L74" i="1"/>
  <c r="J74" i="1"/>
  <c r="H74" i="1"/>
  <c r="N73" i="1"/>
  <c r="L73" i="1"/>
  <c r="J73" i="1"/>
  <c r="H73" i="1"/>
  <c r="N72" i="1"/>
  <c r="L72" i="1"/>
  <c r="J72" i="1"/>
  <c r="H72" i="1"/>
  <c r="N71" i="1"/>
  <c r="L71" i="1"/>
  <c r="J71" i="1"/>
  <c r="H71" i="1"/>
  <c r="N70" i="1"/>
  <c r="L70" i="1"/>
  <c r="J70" i="1"/>
  <c r="H70" i="1"/>
  <c r="N69" i="1"/>
  <c r="L69" i="1"/>
  <c r="J69" i="1"/>
  <c r="H69" i="1"/>
  <c r="N68" i="1"/>
  <c r="L68" i="1"/>
  <c r="J68" i="1"/>
  <c r="H68" i="1"/>
  <c r="N67" i="1"/>
  <c r="L67" i="1"/>
  <c r="J67" i="1"/>
  <c r="H67" i="1"/>
  <c r="N66" i="1"/>
  <c r="L66" i="1"/>
  <c r="J66" i="1"/>
  <c r="H66" i="1"/>
  <c r="N65" i="1"/>
  <c r="L65" i="1"/>
  <c r="J65" i="1"/>
  <c r="H65" i="1"/>
  <c r="N64" i="1"/>
  <c r="L64" i="1"/>
  <c r="J64" i="1"/>
  <c r="H64" i="1"/>
  <c r="N63" i="1"/>
  <c r="L63" i="1"/>
  <c r="J63" i="1"/>
  <c r="H63" i="1"/>
  <c r="N62" i="1"/>
  <c r="L62" i="1"/>
  <c r="J62" i="1"/>
  <c r="H62" i="1"/>
  <c r="N61" i="1"/>
  <c r="L61" i="1"/>
  <c r="J61" i="1"/>
  <c r="H61" i="1"/>
  <c r="N60" i="1"/>
  <c r="L60" i="1"/>
  <c r="J60" i="1"/>
  <c r="H60" i="1"/>
  <c r="N59" i="1"/>
  <c r="L59" i="1"/>
  <c r="J59" i="1"/>
  <c r="H59" i="1"/>
  <c r="N58" i="1"/>
  <c r="L58" i="1"/>
  <c r="J58" i="1"/>
  <c r="H58" i="1"/>
  <c r="N57" i="1"/>
  <c r="L57" i="1"/>
  <c r="J57" i="1"/>
  <c r="H57" i="1"/>
  <c r="N56" i="1"/>
  <c r="L56" i="1"/>
  <c r="J56" i="1"/>
  <c r="H56" i="1"/>
  <c r="N55" i="1"/>
  <c r="L55" i="1"/>
  <c r="J55" i="1"/>
  <c r="H55" i="1"/>
  <c r="N54" i="1"/>
  <c r="L54" i="1"/>
  <c r="J54" i="1"/>
  <c r="H54" i="1"/>
  <c r="N53" i="1"/>
  <c r="L53" i="1"/>
  <c r="J53" i="1"/>
  <c r="H53" i="1"/>
  <c r="N52" i="1"/>
  <c r="L52" i="1"/>
  <c r="J52" i="1"/>
  <c r="H52" i="1"/>
  <c r="N51" i="1"/>
  <c r="L51" i="1"/>
  <c r="J51" i="1"/>
  <c r="H51" i="1"/>
  <c r="N50" i="1"/>
  <c r="L50" i="1"/>
  <c r="J50" i="1"/>
  <c r="H50" i="1"/>
  <c r="N49" i="1"/>
  <c r="L49" i="1"/>
  <c r="J49" i="1"/>
  <c r="H49" i="1"/>
  <c r="N48" i="1"/>
  <c r="L48" i="1"/>
  <c r="J48" i="1"/>
  <c r="H48" i="1"/>
  <c r="N47" i="1"/>
  <c r="L47" i="1"/>
  <c r="J47" i="1"/>
  <c r="H47" i="1"/>
  <c r="N46" i="1"/>
  <c r="L46" i="1"/>
  <c r="J46" i="1"/>
  <c r="H46" i="1"/>
  <c r="N45" i="1"/>
  <c r="L45" i="1"/>
  <c r="J45" i="1"/>
  <c r="H45" i="1"/>
  <c r="N44" i="1"/>
  <c r="L44" i="1"/>
  <c r="J44" i="1"/>
  <c r="H44" i="1"/>
  <c r="N43" i="1"/>
  <c r="L43" i="1"/>
  <c r="J43" i="1"/>
  <c r="H43" i="1"/>
  <c r="N42" i="1"/>
  <c r="L42" i="1"/>
  <c r="J42" i="1"/>
  <c r="H42" i="1"/>
  <c r="N41" i="1"/>
  <c r="L41" i="1"/>
  <c r="J41" i="1"/>
  <c r="H41" i="1"/>
  <c r="N40" i="1"/>
  <c r="L40" i="1"/>
  <c r="J40" i="1"/>
  <c r="H40" i="1"/>
  <c r="N39" i="1"/>
  <c r="L39" i="1"/>
  <c r="J39" i="1"/>
  <c r="H39" i="1"/>
  <c r="N38" i="1"/>
  <c r="L38" i="1"/>
  <c r="J38" i="1"/>
  <c r="H38" i="1"/>
  <c r="N37" i="1"/>
  <c r="L37" i="1"/>
  <c r="J37" i="1"/>
  <c r="H37" i="1"/>
  <c r="N36" i="1"/>
  <c r="L36" i="1"/>
  <c r="J36" i="1"/>
  <c r="H36" i="1"/>
  <c r="N35" i="1"/>
  <c r="L35" i="1"/>
  <c r="J35" i="1"/>
  <c r="H35" i="1"/>
  <c r="N34" i="1"/>
  <c r="L34" i="1"/>
  <c r="J34" i="1"/>
  <c r="H34" i="1"/>
  <c r="N33" i="1"/>
  <c r="L33" i="1"/>
  <c r="J33" i="1"/>
  <c r="H33" i="1"/>
  <c r="N32" i="1"/>
  <c r="L32" i="1"/>
  <c r="J32" i="1"/>
  <c r="H32" i="1"/>
  <c r="N31" i="1"/>
  <c r="L31" i="1"/>
  <c r="J31" i="1"/>
  <c r="H31" i="1"/>
  <c r="N30" i="1"/>
  <c r="L30" i="1"/>
  <c r="J30" i="1"/>
  <c r="H30" i="1"/>
  <c r="N29" i="1"/>
  <c r="L29" i="1"/>
  <c r="J29" i="1"/>
  <c r="H29" i="1"/>
  <c r="N28" i="1"/>
  <c r="L28" i="1"/>
  <c r="J28" i="1"/>
  <c r="H28" i="1"/>
  <c r="N27" i="1"/>
  <c r="L27" i="1"/>
  <c r="J27" i="1"/>
  <c r="H27" i="1"/>
  <c r="N26" i="1"/>
  <c r="L26" i="1"/>
  <c r="J26" i="1"/>
  <c r="H26" i="1"/>
  <c r="N25" i="1"/>
  <c r="L25" i="1"/>
  <c r="J25" i="1"/>
  <c r="H25" i="1"/>
  <c r="N24" i="1"/>
  <c r="L24" i="1"/>
  <c r="J24" i="1"/>
  <c r="H24" i="1"/>
  <c r="N23" i="1"/>
  <c r="L23" i="1"/>
  <c r="J23" i="1"/>
  <c r="H23" i="1"/>
  <c r="N22" i="1"/>
  <c r="L22" i="1"/>
  <c r="J22" i="1"/>
  <c r="H22" i="1"/>
  <c r="N21" i="1"/>
  <c r="L21" i="1"/>
  <c r="J21" i="1"/>
  <c r="H21" i="1"/>
  <c r="N20" i="1"/>
  <c r="L20" i="1"/>
  <c r="J20" i="1"/>
  <c r="H20" i="1"/>
  <c r="N19" i="1"/>
  <c r="L19" i="1"/>
  <c r="J19" i="1"/>
  <c r="H19" i="1"/>
  <c r="N18" i="1"/>
  <c r="L18" i="1"/>
  <c r="J18" i="1"/>
  <c r="H18" i="1"/>
  <c r="N17" i="1"/>
  <c r="L17" i="1"/>
  <c r="J17" i="1"/>
  <c r="H17" i="1"/>
  <c r="N16" i="1"/>
  <c r="L16" i="1"/>
  <c r="J16" i="1"/>
  <c r="H16" i="1"/>
  <c r="N15" i="1"/>
  <c r="L15" i="1"/>
  <c r="J15" i="1"/>
  <c r="H15" i="1"/>
  <c r="N14" i="1"/>
  <c r="L14" i="1"/>
  <c r="J14" i="1"/>
  <c r="H14" i="1"/>
  <c r="N13" i="1"/>
  <c r="L13" i="1"/>
  <c r="J13" i="1"/>
  <c r="H13" i="1"/>
  <c r="N12" i="1"/>
  <c r="L12" i="1"/>
  <c r="J12" i="1"/>
  <c r="H12" i="1"/>
  <c r="N11" i="1"/>
  <c r="L11" i="1"/>
  <c r="J11" i="1"/>
  <c r="H11" i="1"/>
  <c r="N10" i="1"/>
  <c r="L10" i="1"/>
  <c r="J10" i="1"/>
  <c r="H10" i="1"/>
  <c r="N9" i="1"/>
  <c r="L9" i="1"/>
  <c r="J9" i="1"/>
  <c r="H9" i="1"/>
  <c r="N8" i="1"/>
  <c r="L8" i="1"/>
  <c r="J8" i="1"/>
  <c r="H8" i="1"/>
  <c r="N7" i="1"/>
  <c r="L7" i="1"/>
  <c r="J7" i="1"/>
  <c r="H7" i="1"/>
  <c r="N6" i="1"/>
  <c r="L6" i="1"/>
  <c r="J6" i="1"/>
  <c r="H6" i="1"/>
  <c r="N5" i="1"/>
  <c r="L5" i="1"/>
  <c r="J5" i="1"/>
  <c r="H5" i="1"/>
  <c r="N4" i="1"/>
  <c r="L4" i="1"/>
  <c r="J4" i="1"/>
  <c r="H4" i="1"/>
  <c r="N3" i="1"/>
  <c r="L3" i="1"/>
  <c r="J3" i="1"/>
  <c r="H3" i="1"/>
  <c r="N2" i="1"/>
  <c r="L2" i="1"/>
  <c r="J2" i="1"/>
  <c r="H2" i="1"/>
</calcChain>
</file>

<file path=xl/sharedStrings.xml><?xml version="1.0" encoding="utf-8"?>
<sst xmlns="http://schemas.openxmlformats.org/spreadsheetml/2006/main" count="1332" uniqueCount="758">
  <si>
    <t>gene</t>
  </si>
  <si>
    <t>category</t>
  </si>
  <si>
    <t>FinalAnnotation</t>
  </si>
  <si>
    <t>GQ_names</t>
  </si>
  <si>
    <t>Essentiality</t>
  </si>
  <si>
    <t>proteinType</t>
  </si>
  <si>
    <t>HSA_predicted_change</t>
  </si>
  <si>
    <t>HSA_Rank</t>
  </si>
  <si>
    <t>RBDJ_predicted_change</t>
  </si>
  <si>
    <t>RBDJ_Rank</t>
  </si>
  <si>
    <t>nb3B2_predicted_change</t>
  </si>
  <si>
    <t>nb3B2_Rank</t>
  </si>
  <si>
    <t>Trastuzumab_predicted_change</t>
  </si>
  <si>
    <t>Trastuzumab_Rank</t>
  </si>
  <si>
    <t>avg_predicted_change</t>
  </si>
  <si>
    <t>var_predicted_change</t>
  </si>
  <si>
    <t>PAS_chr3_0226</t>
  </si>
  <si>
    <t>Upregulation</t>
  </si>
  <si>
    <t>AVT1</t>
  </si>
  <si>
    <t>GQ67_03272</t>
  </si>
  <si>
    <t>Parallel Reaction</t>
  </si>
  <si>
    <t>PAS_chr2-1_0101</t>
  </si>
  <si>
    <t>GQ67_00126</t>
  </si>
  <si>
    <t>PAS_chr4_0785</t>
  </si>
  <si>
    <t>GQ67_05173</t>
  </si>
  <si>
    <t>Single-Gene Enzyme</t>
  </si>
  <si>
    <t>PAS_chr1-3_0028</t>
  </si>
  <si>
    <t>IPP1</t>
  </si>
  <si>
    <t>GQ67_02278</t>
  </si>
  <si>
    <t>PAS_chr3_0257</t>
  </si>
  <si>
    <t>Mixed, Upregulation</t>
  </si>
  <si>
    <t>ADK1</t>
  </si>
  <si>
    <t>GQ67_03308</t>
  </si>
  <si>
    <t>PAS_chr1-3_0070</t>
  </si>
  <si>
    <t>PPA2</t>
  </si>
  <si>
    <t>GQ67_02321</t>
  </si>
  <si>
    <t>PAS_chr3_1024</t>
  </si>
  <si>
    <t>GQ67_05405</t>
  </si>
  <si>
    <t>Inf</t>
  </si>
  <si>
    <t>PAS_chr2-2_0343</t>
  </si>
  <si>
    <t>AVT4</t>
  </si>
  <si>
    <t>GQ67_00985</t>
  </si>
  <si>
    <t>PAS_chr3_0295</t>
  </si>
  <si>
    <t>AVT3</t>
  </si>
  <si>
    <t>GQ67_03352</t>
  </si>
  <si>
    <t>PAS_c131_0021</t>
  </si>
  <si>
    <t>VMA2</t>
  </si>
  <si>
    <t>GQ67_04300</t>
  </si>
  <si>
    <t>Complex Subunit</t>
  </si>
  <si>
    <t>PAS_chr1-1_0195</t>
  </si>
  <si>
    <t>VMA8</t>
  </si>
  <si>
    <t>GQ67_02774</t>
  </si>
  <si>
    <t>PAS_chr1-1_0309</t>
  </si>
  <si>
    <t>VMA1</t>
  </si>
  <si>
    <t>GQ67_02895</t>
  </si>
  <si>
    <t>PAS_chr1-3_0066</t>
  </si>
  <si>
    <t>GQ67_02317</t>
  </si>
  <si>
    <t>PAS_chr2-1_0246</t>
  </si>
  <si>
    <t>VMA5</t>
  </si>
  <si>
    <t>GQ67_00276</t>
  </si>
  <si>
    <t>PAS_chr2-1_0687</t>
  </si>
  <si>
    <t>VMA11</t>
  </si>
  <si>
    <t>GQ67_00752</t>
  </si>
  <si>
    <t>PAS_chr2-2_0227</t>
  </si>
  <si>
    <t>VMA6</t>
  </si>
  <si>
    <t>GQ67_01109</t>
  </si>
  <si>
    <t>PAS_chr3_0704</t>
  </si>
  <si>
    <t>VMA4</t>
  </si>
  <si>
    <t>GQ67_03796</t>
  </si>
  <si>
    <t>PAS_chr3_1040</t>
  </si>
  <si>
    <t>VMA3</t>
  </si>
  <si>
    <t>GQ67_04171</t>
  </si>
  <si>
    <t>PAS_chr3_1093</t>
  </si>
  <si>
    <t>VPH1</t>
  </si>
  <si>
    <t>GQ67_04232</t>
  </si>
  <si>
    <t>PAS_chr3_1236</t>
  </si>
  <si>
    <t>VMA16</t>
  </si>
  <si>
    <t>GQ67_04023</t>
  </si>
  <si>
    <t>PAS_chr4_0284</t>
  </si>
  <si>
    <t>TRX1</t>
  </si>
  <si>
    <t>GQ67_04616</t>
  </si>
  <si>
    <t>PAS_chr4_0255</t>
  </si>
  <si>
    <t>GQ67_05409</t>
  </si>
  <si>
    <t>PAS_chr4_0674</t>
  </si>
  <si>
    <t>VMA7</t>
  </si>
  <si>
    <t>GQ67_05050</t>
  </si>
  <si>
    <t>PAS_chr4_0990</t>
  </si>
  <si>
    <t>VMA13</t>
  </si>
  <si>
    <t>GQ67_05156</t>
  </si>
  <si>
    <t>PAS_chr3_0495</t>
  </si>
  <si>
    <t>PHO91</t>
  </si>
  <si>
    <t>GQ67_03567</t>
  </si>
  <si>
    <t>PAS_chr4_0576</t>
  </si>
  <si>
    <t>Knockout</t>
  </si>
  <si>
    <t>ADH6</t>
  </si>
  <si>
    <t>GQ67_04947</t>
  </si>
  <si>
    <t>PAS_chr2-2_0165</t>
  </si>
  <si>
    <t>ATP2</t>
  </si>
  <si>
    <t>GQ67_01178</t>
  </si>
  <si>
    <t>PAS_chr3_0819</t>
  </si>
  <si>
    <t>ATP20</t>
  </si>
  <si>
    <t>GQ67_03926</t>
  </si>
  <si>
    <t>PAS_chr4_0173</t>
  </si>
  <si>
    <t>DUR1,2</t>
  </si>
  <si>
    <t>GQ67_04487</t>
  </si>
  <si>
    <t>PAS_chr1-4_0394</t>
  </si>
  <si>
    <t>MEP2</t>
  </si>
  <si>
    <t>GQ67_01771</t>
  </si>
  <si>
    <t>PAS_chr1-1_0394</t>
  </si>
  <si>
    <t>YEL020C</t>
  </si>
  <si>
    <t>GQ67_02253</t>
  </si>
  <si>
    <t>PAS_chr4_0974</t>
  </si>
  <si>
    <t>Mixed, Knockout</t>
  </si>
  <si>
    <t>AAT2</t>
  </si>
  <si>
    <t>GQ67_04898</t>
  </si>
  <si>
    <t>PAS_chr1-4_0632</t>
  </si>
  <si>
    <t>MIS1</t>
  </si>
  <si>
    <t>GQ67_01504</t>
  </si>
  <si>
    <t>PAS_chr1-4_0659</t>
  </si>
  <si>
    <t>AHP1</t>
  </si>
  <si>
    <t>GQ67_02008</t>
  </si>
  <si>
    <t>PAS_chr3_0482</t>
  </si>
  <si>
    <t>ALT1</t>
  </si>
  <si>
    <t>GQ67_03554</t>
  </si>
  <si>
    <t>PAS_chr3_0456</t>
  </si>
  <si>
    <t>PGI1</t>
  </si>
  <si>
    <t>GQ67_03526</t>
  </si>
  <si>
    <t>PAS_chr4_0248</t>
  </si>
  <si>
    <t>BAT1</t>
  </si>
  <si>
    <t>GQ67_04574</t>
  </si>
  <si>
    <t>PAS_chr3_0506</t>
  </si>
  <si>
    <t>ARO1</t>
  </si>
  <si>
    <t>GQ67_03579</t>
  </si>
  <si>
    <t>PAS_chr1-1_0132</t>
  </si>
  <si>
    <t>PNP1</t>
  </si>
  <si>
    <t>GQ67_02709</t>
  </si>
  <si>
    <t>PAS_chr1-3_0023</t>
  </si>
  <si>
    <t>GQ67_02272</t>
  </si>
  <si>
    <t>PAS_chr1-4_0329</t>
  </si>
  <si>
    <t>GQ67_01841</t>
  </si>
  <si>
    <t>PAS_chr1-1_0200</t>
  </si>
  <si>
    <t>GQ67_02780</t>
  </si>
  <si>
    <t>PAS_chr1-4_0524</t>
  </si>
  <si>
    <t>GUD1</t>
  </si>
  <si>
    <t>GQ67_01628</t>
  </si>
  <si>
    <t>PAS_chr2-2_0220</t>
  </si>
  <si>
    <t>TSA1</t>
  </si>
  <si>
    <t>GQ67_01115</t>
  </si>
  <si>
    <t>PAS_chr2-1_0292</t>
  </si>
  <si>
    <t>GQ67_00324</t>
  </si>
  <si>
    <t>PAS_chr2-1_0749</t>
  </si>
  <si>
    <t>DAL2</t>
  </si>
  <si>
    <t>GQ67_00816</t>
  </si>
  <si>
    <t>PAS_chr2-2_0112</t>
  </si>
  <si>
    <t>GQ67_01234</t>
  </si>
  <si>
    <t>PAS_chr4_0816</t>
  </si>
  <si>
    <t>NTH1</t>
  </si>
  <si>
    <t>GQ67_05209</t>
  </si>
  <si>
    <t>PAS_chr2-2_0279</t>
  </si>
  <si>
    <t>GQ67_01053</t>
  </si>
  <si>
    <t>PAS_chr4_0342</t>
  </si>
  <si>
    <t>ATH1</t>
  </si>
  <si>
    <t>GQ67_04682</t>
  </si>
  <si>
    <t>PAS_chr1-1_0050</t>
  </si>
  <si>
    <t>LAT1</t>
  </si>
  <si>
    <t>GQ67_02612</t>
  </si>
  <si>
    <t>PAS_chr2-2_0024</t>
  </si>
  <si>
    <t>PYC2</t>
  </si>
  <si>
    <t>GQ67_01335</t>
  </si>
  <si>
    <t>PAS_chr1-1_0202</t>
  </si>
  <si>
    <t>GQ67_02783</t>
  </si>
  <si>
    <t>PAS_chr4_0416</t>
  </si>
  <si>
    <t>AGX1</t>
  </si>
  <si>
    <t>GQ67_04768</t>
  </si>
  <si>
    <t>PAS_chr1-4_0254</t>
  </si>
  <si>
    <t>PDX1</t>
  </si>
  <si>
    <t>GQ67_01925</t>
  </si>
  <si>
    <t>PAS_chr1-4_0593</t>
  </si>
  <si>
    <t>GQ67_01546</t>
  </si>
  <si>
    <t>Complex Subunit for Parallel Reaction</t>
  </si>
  <si>
    <t>PAS_chr2-2_0219</t>
  </si>
  <si>
    <t>GUK1</t>
  </si>
  <si>
    <t>GQ67_01116</t>
  </si>
  <si>
    <t>PAS_chr2-2_0294</t>
  </si>
  <si>
    <t>PDA1</t>
  </si>
  <si>
    <t>GQ67_01034</t>
  </si>
  <si>
    <t>PAS_chr2-1_0580</t>
  </si>
  <si>
    <t>IDP2</t>
  </si>
  <si>
    <t>GQ67_00636</t>
  </si>
  <si>
    <t>PAS_chr3_0177</t>
  </si>
  <si>
    <t>CTP1</t>
  </si>
  <si>
    <t>GQ67_03201</t>
  </si>
  <si>
    <t>PAS_chr1-4_0264</t>
  </si>
  <si>
    <t>PGM2</t>
  </si>
  <si>
    <t>GQ67_01913</t>
  </si>
  <si>
    <t>PAS_chr1-4_0561</t>
  </si>
  <si>
    <t>GQ67_01586</t>
  </si>
  <si>
    <t>PAS_chr3_1192</t>
  </si>
  <si>
    <t>GQ67_03529</t>
  </si>
  <si>
    <t>PAS_chr1-1_0124</t>
  </si>
  <si>
    <t>GQ67_02699</t>
  </si>
  <si>
    <t>PAS_chr2-2_0053</t>
  </si>
  <si>
    <t>SEC53</t>
  </si>
  <si>
    <t>GQ67_01298</t>
  </si>
  <si>
    <t>PAS_chr1-3_0210</t>
  </si>
  <si>
    <t>GQ67_02470</t>
  </si>
  <si>
    <t>PAS_chr3_0870</t>
  </si>
  <si>
    <t>PSA1</t>
  </si>
  <si>
    <t>GQ67_03988</t>
  </si>
  <si>
    <t>PAS_chr1-4_0039</t>
  </si>
  <si>
    <t>GQ67_02149</t>
  </si>
  <si>
    <t>PAS_chr1-4_0575</t>
  </si>
  <si>
    <t>GQ67_01567</t>
  </si>
  <si>
    <t>PAS_chr2-2_0035</t>
  </si>
  <si>
    <t>GQ67_01322</t>
  </si>
  <si>
    <t>PAS_chr2-2_0462</t>
  </si>
  <si>
    <t>GQ67_01214</t>
  </si>
  <si>
    <t>PAS_chr3_0808</t>
  </si>
  <si>
    <t>GQ67_03913</t>
  </si>
  <si>
    <t>PAS_chr4_0355</t>
  </si>
  <si>
    <t>GQ67_04696</t>
  </si>
  <si>
    <t>PAS_chr1-1_0277</t>
  </si>
  <si>
    <t>SOL1</t>
  </si>
  <si>
    <t>GQ67_02859</t>
  </si>
  <si>
    <t>PAS_chr1-1_0427</t>
  </si>
  <si>
    <t>YOR283W</t>
  </si>
  <si>
    <t>GQ67_02219</t>
  </si>
  <si>
    <t>PAS_chr2-2_0177</t>
  </si>
  <si>
    <t>SHB17</t>
  </si>
  <si>
    <t>GQ67_01163</t>
  </si>
  <si>
    <t>PAS_chr2-2_0131</t>
  </si>
  <si>
    <t>CTA1</t>
  </si>
  <si>
    <t>GQ67_01215</t>
  </si>
  <si>
    <t>PAS_FragB_0009</t>
  </si>
  <si>
    <t>GCV3</t>
  </si>
  <si>
    <t>GQ67_01458</t>
  </si>
  <si>
    <t>PAS_FragB_0053</t>
  </si>
  <si>
    <t>GCV2</t>
  </si>
  <si>
    <t>GQ67_01408</t>
  </si>
  <si>
    <t>PAS_chr1-4_0017</t>
  </si>
  <si>
    <t>PPN1</t>
  </si>
  <si>
    <t>GQ67_02172</t>
  </si>
  <si>
    <t>PAS_chr2-1_0668</t>
  </si>
  <si>
    <t>VTC2</t>
  </si>
  <si>
    <t>GQ67_00732</t>
  </si>
  <si>
    <t>PAS_chr2-2_0492</t>
  </si>
  <si>
    <t>GCV1</t>
  </si>
  <si>
    <t>GQ67_01022</t>
  </si>
  <si>
    <t>PAS_chr2-2_0048</t>
  </si>
  <si>
    <t>LPD1</t>
  </si>
  <si>
    <t>GQ67_01304</t>
  </si>
  <si>
    <t>PAS_chr1-1_0319</t>
  </si>
  <si>
    <t>FBA2</t>
  </si>
  <si>
    <t>GQ67_02903</t>
  </si>
  <si>
    <t>PAS_chr1-4_0420</t>
  </si>
  <si>
    <t>GQ67_01742</t>
  </si>
  <si>
    <t>PAS_chr2-2_0420</t>
  </si>
  <si>
    <t>VTC4</t>
  </si>
  <si>
    <t>GQ67_00906</t>
  </si>
  <si>
    <t>PAS_chr2-2_0059</t>
  </si>
  <si>
    <t>YNK1</t>
  </si>
  <si>
    <t>GQ67_01292</t>
  </si>
  <si>
    <t>PAS_chr3_0769</t>
  </si>
  <si>
    <t>GQ67_05398</t>
  </si>
  <si>
    <t>PAS_chr1-1_0432</t>
  </si>
  <si>
    <t>ILV5</t>
  </si>
  <si>
    <t>GQ67_02215</t>
  </si>
  <si>
    <t>PAS_chr1-4_0458</t>
  </si>
  <si>
    <t>ILV3</t>
  </si>
  <si>
    <t>GQ67_01698</t>
  </si>
  <si>
    <t>PAS_chr2-1_0864</t>
  </si>
  <si>
    <t>ILV6</t>
  </si>
  <si>
    <t>GQ67_00635</t>
  </si>
  <si>
    <t>PAS_chr4_0228</t>
  </si>
  <si>
    <t>ILV2</t>
  </si>
  <si>
    <t>GQ67_04550</t>
  </si>
  <si>
    <t>PAS_chr2-1_0115</t>
  </si>
  <si>
    <t>GQ67_00143</t>
  </si>
  <si>
    <t>PAS_chr2-1_0363</t>
  </si>
  <si>
    <t>COX13</t>
  </si>
  <si>
    <t>GQ67_00402</t>
  </si>
  <si>
    <t>PAS_chr4_0422</t>
  </si>
  <si>
    <t>GQ67_04774</t>
  </si>
  <si>
    <t>PAS_chr1-4_0160</t>
  </si>
  <si>
    <t>HIS4</t>
  </si>
  <si>
    <t>GQ67_02025</t>
  </si>
  <si>
    <t>PAS_chr4_0744</t>
  </si>
  <si>
    <t>COA1</t>
  </si>
  <si>
    <t>GQ67_05127</t>
  </si>
  <si>
    <t>PAS_chr1-3_0226</t>
  </si>
  <si>
    <t>GAS1</t>
  </si>
  <si>
    <t>GQ67_02485</t>
  </si>
  <si>
    <t>PAS_chr2-1_0263</t>
  </si>
  <si>
    <t>GQ67_00294</t>
  </si>
  <si>
    <t>PAS_chr1-4_0047</t>
  </si>
  <si>
    <t>PFK2</t>
  </si>
  <si>
    <t>GQ67_02141</t>
  </si>
  <si>
    <t>PAS_chr3_0306</t>
  </si>
  <si>
    <t>GAS2</t>
  </si>
  <si>
    <t>GQ67_03365</t>
  </si>
  <si>
    <t>PAS_chr2-1_0368</t>
  </si>
  <si>
    <t>LEU1</t>
  </si>
  <si>
    <t>GQ67_00407</t>
  </si>
  <si>
    <t>PAS_chr1-4_0608</t>
  </si>
  <si>
    <t>ARO8</t>
  </si>
  <si>
    <t>GQ67_01532</t>
  </si>
  <si>
    <t>PAS_chr1-3_0220</t>
  </si>
  <si>
    <t>MTD1</t>
  </si>
  <si>
    <t>GQ67_02479</t>
  </si>
  <si>
    <t>PAS_chr4_0624</t>
  </si>
  <si>
    <t>GQ67_04999</t>
  </si>
  <si>
    <t>PAS_chr4_0437</t>
  </si>
  <si>
    <t>PHA2</t>
  </si>
  <si>
    <t>GQ67_04795</t>
  </si>
  <si>
    <t>PAS_chr1-4_0104</t>
  </si>
  <si>
    <t>DIA4</t>
  </si>
  <si>
    <t>GQ67_02081</t>
  </si>
  <si>
    <t>PAS_chr1-4_0463</t>
  </si>
  <si>
    <t>SES1</t>
  </si>
  <si>
    <t>GQ67_01692</t>
  </si>
  <si>
    <t>PAS_chr3_0754</t>
  </si>
  <si>
    <t>VAS1</t>
  </si>
  <si>
    <t>GQ67_03851</t>
  </si>
  <si>
    <t>PAS_chr3_0462</t>
  </si>
  <si>
    <t>ALA1</t>
  </si>
  <si>
    <t>GQ67_03534</t>
  </si>
  <si>
    <t>PAS_chr4_0393</t>
  </si>
  <si>
    <t>CDC60</t>
  </si>
  <si>
    <t>GQ67_04743</t>
  </si>
  <si>
    <t>PAS_chr2-1_0637</t>
  </si>
  <si>
    <t>GQ67_00700</t>
  </si>
  <si>
    <t>PAS_chr1-4_0049</t>
  </si>
  <si>
    <t>HOM6</t>
  </si>
  <si>
    <t>GQ67_02138</t>
  </si>
  <si>
    <t>PAS_chr3_0471</t>
  </si>
  <si>
    <t>HOM2</t>
  </si>
  <si>
    <t>GQ67_03544</t>
  </si>
  <si>
    <t>PAS_chr4_0150</t>
  </si>
  <si>
    <t>HOM3</t>
  </si>
  <si>
    <t>GQ67_04460</t>
  </si>
  <si>
    <t>PAS_chr2-1_0660</t>
  </si>
  <si>
    <t>ADE17</t>
  </si>
  <si>
    <t>GQ67_00724</t>
  </si>
  <si>
    <t>PAS_chr2-1_0767</t>
  </si>
  <si>
    <t>ACS1</t>
  </si>
  <si>
    <t>GQ67_00837</t>
  </si>
  <si>
    <t>PAS_chr1-1_0475</t>
  </si>
  <si>
    <t>CIT1</t>
  </si>
  <si>
    <t>GQ67_02696</t>
  </si>
  <si>
    <t>PAS_chr1-3_0104</t>
  </si>
  <si>
    <t>ACO1</t>
  </si>
  <si>
    <t>GQ67_02359</t>
  </si>
  <si>
    <t>PAS_chr2-1_0269</t>
  </si>
  <si>
    <t>THR4</t>
  </si>
  <si>
    <t>GQ67_00300</t>
  </si>
  <si>
    <t>PAS_chr4_0050</t>
  </si>
  <si>
    <t>ARO7</t>
  </si>
  <si>
    <t>GQ67_04359</t>
  </si>
  <si>
    <t>PAS_chr3_0899</t>
  </si>
  <si>
    <t>THR1</t>
  </si>
  <si>
    <t>GQ67_04024</t>
  </si>
  <si>
    <t>PAS_chr4_0147</t>
  </si>
  <si>
    <t>ARO9</t>
  </si>
  <si>
    <t>GQ67_04457</t>
  </si>
  <si>
    <t>PAS_chr1-4_0598</t>
  </si>
  <si>
    <t>GUS1</t>
  </si>
  <si>
    <t>GQ67_01541</t>
  </si>
  <si>
    <t>PAS_chr3_0434</t>
  </si>
  <si>
    <t>AGC1</t>
  </si>
  <si>
    <t>GQ67_03504</t>
  </si>
  <si>
    <t>PAS_chr3_0781</t>
  </si>
  <si>
    <t>GSY2</t>
  </si>
  <si>
    <t>GQ67_03881</t>
  </si>
  <si>
    <t>PAS_chr4_0847</t>
  </si>
  <si>
    <t>GLG1</t>
  </si>
  <si>
    <t>GQ67_05240</t>
  </si>
  <si>
    <t>PAS_chr2-2_0238</t>
  </si>
  <si>
    <t>THS1</t>
  </si>
  <si>
    <t>GQ67_01097</t>
  </si>
  <si>
    <t>PAS_chr3_0376</t>
  </si>
  <si>
    <t>GQ67_03441</t>
  </si>
  <si>
    <t>PAS_chr3_0403</t>
  </si>
  <si>
    <t>ACS2</t>
  </si>
  <si>
    <t>GQ67_03471</t>
  </si>
  <si>
    <t>PAS_chr4_0060</t>
  </si>
  <si>
    <t>GQ67_04366</t>
  </si>
  <si>
    <t>PAS_chr3_0949</t>
  </si>
  <si>
    <t>KRS1</t>
  </si>
  <si>
    <t>GQ67_04077</t>
  </si>
  <si>
    <t>PAS_chr1-4_0095</t>
  </si>
  <si>
    <t>GQ67_02089</t>
  </si>
  <si>
    <t>PAS_chr1-1_0390</t>
  </si>
  <si>
    <t>DED81</t>
  </si>
  <si>
    <t>GQ67_02976</t>
  </si>
  <si>
    <t>PAS_chr2-1_0853</t>
  </si>
  <si>
    <t>ALD4</t>
  </si>
  <si>
    <t>GQ67_00554</t>
  </si>
  <si>
    <t>PAS_chr2-1_0415</t>
  </si>
  <si>
    <t>LEU4</t>
  </si>
  <si>
    <t>GQ67_00456</t>
  </si>
  <si>
    <t>PAS_chr4_0254</t>
  </si>
  <si>
    <t>MSC7</t>
  </si>
  <si>
    <t>GQ67_04579</t>
  </si>
  <si>
    <t>PAS_chr3_0181</t>
  </si>
  <si>
    <t>GQ67_03205</t>
  </si>
  <si>
    <t>PAS_chr3_0166</t>
  </si>
  <si>
    <t>YDR341C</t>
  </si>
  <si>
    <t>GQ67_03186</t>
  </si>
  <si>
    <t>PAS_chr3_0144</t>
  </si>
  <si>
    <t>FRS1</t>
  </si>
  <si>
    <t>GQ67_03161</t>
  </si>
  <si>
    <t>PAS_chr4_0522</t>
  </si>
  <si>
    <t>TYS1</t>
  </si>
  <si>
    <t>GQ67_04886</t>
  </si>
  <si>
    <t>PAS_chr2-2_0329</t>
  </si>
  <si>
    <t>ADE13</t>
  </si>
  <si>
    <t>GQ67_00998</t>
  </si>
  <si>
    <t>PAS_chr4_0338</t>
  </si>
  <si>
    <t>GQ67_04678</t>
  </si>
  <si>
    <t>PAS_chr4_0276</t>
  </si>
  <si>
    <t>FRS2</t>
  </si>
  <si>
    <t>GQ67_04603</t>
  </si>
  <si>
    <t>PAS_chr4_0988</t>
  </si>
  <si>
    <t>GQ67_05136</t>
  </si>
  <si>
    <t>PAS_chr1-1_0391</t>
  </si>
  <si>
    <t>YHR020W</t>
  </si>
  <si>
    <t>GQ67_02977</t>
  </si>
  <si>
    <t>PAS_chr2-1_0168</t>
  </si>
  <si>
    <t>ARG5,6</t>
  </si>
  <si>
    <t>GQ67_00194</t>
  </si>
  <si>
    <t>PAS_chr4_0613</t>
  </si>
  <si>
    <t>ADE12</t>
  </si>
  <si>
    <t>GQ67_04987</t>
  </si>
  <si>
    <t>PAS_chr2-2_0209</t>
  </si>
  <si>
    <t>AIM10</t>
  </si>
  <si>
    <t>GQ67_01126</t>
  </si>
  <si>
    <t>PAS_chr3_0285</t>
  </si>
  <si>
    <t>GLN4</t>
  </si>
  <si>
    <t>GQ67_03341</t>
  </si>
  <si>
    <t>PAS_chr1-1_0266</t>
  </si>
  <si>
    <t>YGR125W</t>
  </si>
  <si>
    <t>GQ67_02847</t>
  </si>
  <si>
    <t>PAS_chr1-1_0323</t>
  </si>
  <si>
    <t>APA2</t>
  </si>
  <si>
    <t>GQ67_02907</t>
  </si>
  <si>
    <t>PAS_chr3_0647</t>
  </si>
  <si>
    <t>FUM1</t>
  </si>
  <si>
    <t>GQ67_03733</t>
  </si>
  <si>
    <t>PAS_chr2-2_0317</t>
  </si>
  <si>
    <t>TYR1</t>
  </si>
  <si>
    <t>GQ67_01010</t>
  </si>
  <si>
    <t>PAS_chr1-1_0447</t>
  </si>
  <si>
    <t>LYS1</t>
  </si>
  <si>
    <t>GQ67_02199</t>
  </si>
  <si>
    <t>PAS_chr2-1_0547</t>
  </si>
  <si>
    <t>MET22</t>
  </si>
  <si>
    <t>GQ67_00600</t>
  </si>
  <si>
    <t>PAS_chr1-3_0244</t>
  </si>
  <si>
    <t>GQ67_02507</t>
  </si>
  <si>
    <t>PAS_chr1-4_0153</t>
  </si>
  <si>
    <t>LYS2</t>
  </si>
  <si>
    <t>GQ67_02032</t>
  </si>
  <si>
    <t>PAS_chr2-1_0212</t>
  </si>
  <si>
    <t>PMT1</t>
  </si>
  <si>
    <t>GQ67_00240</t>
  </si>
  <si>
    <t>PAS_chr3_0489</t>
  </si>
  <si>
    <t>SUL1</t>
  </si>
  <si>
    <t>GQ67_03562</t>
  </si>
  <si>
    <t>PAS_chr1-1_0006</t>
  </si>
  <si>
    <t>PRS1</t>
  </si>
  <si>
    <t>GQ67_02562</t>
  </si>
  <si>
    <t>PAS_chr2-1_0256</t>
  </si>
  <si>
    <t>PMT2</t>
  </si>
  <si>
    <t>GQ67_00287</t>
  </si>
  <si>
    <t>PAS_chr3_0528</t>
  </si>
  <si>
    <t>LYS9</t>
  </si>
  <si>
    <t>GQ67_03601</t>
  </si>
  <si>
    <t>PAS_chr3_0667</t>
  </si>
  <si>
    <t>MET14</t>
  </si>
  <si>
    <t>GQ67_03753</t>
  </si>
  <si>
    <t>PAS_chr1-1_0436</t>
  </si>
  <si>
    <t>PRS4</t>
  </si>
  <si>
    <t>GQ67_02210</t>
  </si>
  <si>
    <t>PAS_chr4_0777</t>
  </si>
  <si>
    <t>PMT6</t>
  </si>
  <si>
    <t>GQ67_05164</t>
  </si>
  <si>
    <t>PAS_chr3_1084</t>
  </si>
  <si>
    <t>GQ67_05406</t>
  </si>
  <si>
    <t>PAS_chr2-2_0174</t>
  </si>
  <si>
    <t>PRS5</t>
  </si>
  <si>
    <t>GQ67_01167</t>
  </si>
  <si>
    <t>PAS_chr4_0369</t>
  </si>
  <si>
    <t>MET10</t>
  </si>
  <si>
    <t>GQ67_04713</t>
  </si>
  <si>
    <t>PAS_chr1-4_0243</t>
  </si>
  <si>
    <t>ILV1</t>
  </si>
  <si>
    <t>GQ67_01935</t>
  </si>
  <si>
    <t>PAS_chr3_0062</t>
  </si>
  <si>
    <t>PRS3</t>
  </si>
  <si>
    <t>GQ67_03072</t>
  </si>
  <si>
    <t>PAS_chr2-2_0408</t>
  </si>
  <si>
    <t>CHA1</t>
  </si>
  <si>
    <t>GQ67_00921</t>
  </si>
  <si>
    <t>PAS_chr1-1_0397</t>
  </si>
  <si>
    <t>HIS2</t>
  </si>
  <si>
    <t>GQ67_02250</t>
  </si>
  <si>
    <t>PAS_chr1-4_0234</t>
  </si>
  <si>
    <t>HIS1</t>
  </si>
  <si>
    <t>GQ67_01941</t>
  </si>
  <si>
    <t>PAS_chr1-4_0514</t>
  </si>
  <si>
    <t>YNL247W</t>
  </si>
  <si>
    <t>GQ67_01638</t>
  </si>
  <si>
    <t>PAS_chr4_0709</t>
  </si>
  <si>
    <t>ILS1</t>
  </si>
  <si>
    <t>GQ67_05089</t>
  </si>
  <si>
    <t>PAS_chr2-1_0684</t>
  </si>
  <si>
    <t>HIS5</t>
  </si>
  <si>
    <t>GQ67_00749</t>
  </si>
  <si>
    <t>PAS_chr3_0199</t>
  </si>
  <si>
    <t>YML096W</t>
  </si>
  <si>
    <t>GQ67_03238</t>
  </si>
  <si>
    <t>PAS_chr3_0675</t>
  </si>
  <si>
    <t>ASN2</t>
  </si>
  <si>
    <t>GQ67_03764</t>
  </si>
  <si>
    <t>PAS_chr3_0788</t>
  </si>
  <si>
    <t>HIS3</t>
  </si>
  <si>
    <t>GQ67_03890</t>
  </si>
  <si>
    <t>PAS_chr4_0343</t>
  </si>
  <si>
    <t>HIS6</t>
  </si>
  <si>
    <t>GQ67_04683</t>
  </si>
  <si>
    <t>PAS_chr4_0703</t>
  </si>
  <si>
    <t>HIS7</t>
  </si>
  <si>
    <t>GQ67_05084</t>
  </si>
  <si>
    <t>PAS_chr3_0039</t>
  </si>
  <si>
    <t>LEU2</t>
  </si>
  <si>
    <t>GQ67_03048</t>
  </si>
  <si>
    <t>PAS_chr4_0398</t>
  </si>
  <si>
    <t>PRO3</t>
  </si>
  <si>
    <t>GQ67_04749</t>
  </si>
  <si>
    <t>PAS_chr2-2_0137</t>
  </si>
  <si>
    <t>CYS4</t>
  </si>
  <si>
    <t>GQ67_01208</t>
  </si>
  <si>
    <t>PAS_chr4_0795</t>
  </si>
  <si>
    <t>LYS4</t>
  </si>
  <si>
    <t>GQ67_05186</t>
  </si>
  <si>
    <t>PAS_chr1-1_0389</t>
  </si>
  <si>
    <t>ARG4</t>
  </si>
  <si>
    <t>GQ67_02975</t>
  </si>
  <si>
    <t>PAS_chr2-1_0530</t>
  </si>
  <si>
    <t>GQ67_00582</t>
  </si>
  <si>
    <t>PAS_chr3_0100</t>
  </si>
  <si>
    <t>ORT1</t>
  </si>
  <si>
    <t>GQ67_03114</t>
  </si>
  <si>
    <t>PAS_chr3_0176</t>
  </si>
  <si>
    <t>ARG7</t>
  </si>
  <si>
    <t>GQ67_03198</t>
  </si>
  <si>
    <t>PAS_chr3_0216</t>
  </si>
  <si>
    <t>ARG1</t>
  </si>
  <si>
    <t>GQ67_03260</t>
  </si>
  <si>
    <t>PAS_chr3_0623</t>
  </si>
  <si>
    <t>GQ67_03705</t>
  </si>
  <si>
    <t>PAS_chr2-2_0283</t>
  </si>
  <si>
    <t>SDH4</t>
  </si>
  <si>
    <t>GQ67_01049</t>
  </si>
  <si>
    <t>PAS_chr4_0645</t>
  </si>
  <si>
    <t>ARG8</t>
  </si>
  <si>
    <t>GQ67_05020</t>
  </si>
  <si>
    <t>PAS_chr2-2_0407</t>
  </si>
  <si>
    <t>LSC2</t>
  </si>
  <si>
    <t>GQ67_00922</t>
  </si>
  <si>
    <t>PAS_chr3_0831</t>
  </si>
  <si>
    <t>LSC1</t>
  </si>
  <si>
    <t>GQ67_03939</t>
  </si>
  <si>
    <t>PAS_chr4_0337</t>
  </si>
  <si>
    <t>PHO84</t>
  </si>
  <si>
    <t>GQ67_04677</t>
  </si>
  <si>
    <t>PAS_chr1-4_0150</t>
  </si>
  <si>
    <t>TKL1</t>
  </si>
  <si>
    <t>GQ67_02035</t>
  </si>
  <si>
    <t>PAS_chr3_0832</t>
  </si>
  <si>
    <t>DAS1</t>
  </si>
  <si>
    <t>GQ67_03941</t>
  </si>
  <si>
    <t>PAS_chr3_0834</t>
  </si>
  <si>
    <t>DAS2</t>
  </si>
  <si>
    <t>GQ67_03943</t>
  </si>
  <si>
    <t>NaN</t>
  </si>
  <si>
    <t>PAS_chr3_0799</t>
  </si>
  <si>
    <t>CPA2</t>
  </si>
  <si>
    <t>GQ67_03902</t>
  </si>
  <si>
    <t>PAS_chr3_0165</t>
  </si>
  <si>
    <t>WRS1</t>
  </si>
  <si>
    <t>GQ67_03185</t>
  </si>
  <si>
    <t>PAS_chr3_0634</t>
  </si>
  <si>
    <t>GQ67_03719</t>
  </si>
  <si>
    <t>PAS_chr2-2_0075</t>
  </si>
  <si>
    <t>ABZ1</t>
  </si>
  <si>
    <t>GQ67_01273</t>
  </si>
  <si>
    <t>PAS_chr1-4_0421</t>
  </si>
  <si>
    <t>LYS21</t>
  </si>
  <si>
    <t>GQ67_01741</t>
  </si>
  <si>
    <t>PAS_chr2-1_0554</t>
  </si>
  <si>
    <t>RPA12</t>
  </si>
  <si>
    <t>GQ67_00608</t>
  </si>
  <si>
    <t>PAS_chr2-2_0434</t>
  </si>
  <si>
    <t>GQ67_00891</t>
  </si>
  <si>
    <t>PAS_chr4_0697</t>
  </si>
  <si>
    <t>RPC34</t>
  </si>
  <si>
    <t>GQ67_05078</t>
  </si>
  <si>
    <t>PAS_chr2-1_0065</t>
  </si>
  <si>
    <t>CHS3</t>
  </si>
  <si>
    <t>GQ67_00088</t>
  </si>
  <si>
    <t>PAS_chr4_0330</t>
  </si>
  <si>
    <t>GQ67_05410</t>
  </si>
  <si>
    <t>PAS_chr2-1_0383</t>
  </si>
  <si>
    <t>GQ67_00425</t>
  </si>
  <si>
    <t>PAS_chr3_1007</t>
  </si>
  <si>
    <t>BTS1</t>
  </si>
  <si>
    <t>GQ67_04137</t>
  </si>
  <si>
    <t>PAS_chr4_0737</t>
  </si>
  <si>
    <t>MCR1</t>
  </si>
  <si>
    <t>GQ67_05120</t>
  </si>
  <si>
    <t>PAS_chr2-1_0160</t>
  </si>
  <si>
    <t>MET6</t>
  </si>
  <si>
    <t>GQ67_00185</t>
  </si>
  <si>
    <t>PAS_chr2-2_0111</t>
  </si>
  <si>
    <t>GPD1</t>
  </si>
  <si>
    <t>GQ67_01235</t>
  </si>
  <si>
    <t>PAS_chr2-1_0358</t>
  </si>
  <si>
    <t>STR3</t>
  </si>
  <si>
    <t>GQ67_00396</t>
  </si>
  <si>
    <t>PAS_chr2-2_0182</t>
  </si>
  <si>
    <t>GQ67_01157</t>
  </si>
  <si>
    <t>PAS_chr2-1_0279</t>
  </si>
  <si>
    <t>TGL3</t>
  </si>
  <si>
    <t>GQ67_00311</t>
  </si>
  <si>
    <t>PAS_chr1-3_0081</t>
  </si>
  <si>
    <t>GPT2</t>
  </si>
  <si>
    <t>GQ67_02333</t>
  </si>
  <si>
    <t>PAS_chr2-1_0794</t>
  </si>
  <si>
    <t>TGL2</t>
  </si>
  <si>
    <t>GQ67_00868</t>
  </si>
  <si>
    <t>PAS_chr1-4_0429</t>
  </si>
  <si>
    <t>IDI1</t>
  </si>
  <si>
    <t>GQ67_01732</t>
  </si>
  <si>
    <t>PAS_chr4_0063</t>
  </si>
  <si>
    <t>ERG4</t>
  </si>
  <si>
    <t>GQ67_04369</t>
  </si>
  <si>
    <t>PAS_chr1-4_0093</t>
  </si>
  <si>
    <t>CHO2</t>
  </si>
  <si>
    <t>GQ67_02092</t>
  </si>
  <si>
    <t>PAS_chr4_0593</t>
  </si>
  <si>
    <t>GOR1</t>
  </si>
  <si>
    <t>GQ67_04965</t>
  </si>
  <si>
    <t>PAS_chr3_0218</t>
  </si>
  <si>
    <t>DGA1</t>
  </si>
  <si>
    <t>GQ67_03262</t>
  </si>
  <si>
    <t>PAS_chr3_0932</t>
  </si>
  <si>
    <t>FDH1</t>
  </si>
  <si>
    <t>GQ67_04060</t>
  </si>
  <si>
    <t>PAS_chr3_0859</t>
  </si>
  <si>
    <t>OPI3</t>
  </si>
  <si>
    <t>GQ67_03974</t>
  </si>
  <si>
    <t>PAS_chr3_0371</t>
  </si>
  <si>
    <t>ERG6</t>
  </si>
  <si>
    <t>GQ67_03435</t>
  </si>
  <si>
    <t>PAS_chr1-4_0367</t>
  </si>
  <si>
    <t>ERG3</t>
  </si>
  <si>
    <t>GQ67_01801</t>
  </si>
  <si>
    <t>PAS_chr2-1_0209</t>
  </si>
  <si>
    <t>GQ67_00237</t>
  </si>
  <si>
    <t>PAS_chr1-4_0703</t>
  </si>
  <si>
    <t>RAD30</t>
  </si>
  <si>
    <t>GQ67_01568</t>
  </si>
  <si>
    <t>PAS_chr2-1_0100</t>
  </si>
  <si>
    <t>DPB4</t>
  </si>
  <si>
    <t>GQ67_00125</t>
  </si>
  <si>
    <t>PAS_chr2-1_0163</t>
  </si>
  <si>
    <t>POL3</t>
  </si>
  <si>
    <t>GQ67_00188</t>
  </si>
  <si>
    <t>PAS_chr2-1_0868</t>
  </si>
  <si>
    <t>POL5</t>
  </si>
  <si>
    <t>GQ67_00671</t>
  </si>
  <si>
    <t>PAS_chr3_1250</t>
  </si>
  <si>
    <t>GQ67_04210</t>
  </si>
  <si>
    <t>PAS_chr1-1_0498</t>
  </si>
  <si>
    <t>GQ67_02923</t>
  </si>
  <si>
    <t>PAS_chr3_0198</t>
  </si>
  <si>
    <t>DPP1</t>
  </si>
  <si>
    <t>GQ67_03237</t>
  </si>
  <si>
    <t>PAS_chr1-1_0163</t>
  </si>
  <si>
    <t>DCD1</t>
  </si>
  <si>
    <t>GQ67_02743</t>
  </si>
  <si>
    <t>PAS_FragB_0040</t>
  </si>
  <si>
    <t>LCB1</t>
  </si>
  <si>
    <t>GQ67_01420</t>
  </si>
  <si>
    <t>PAS_chr2-2_0193</t>
  </si>
  <si>
    <t>LAC1</t>
  </si>
  <si>
    <t>GQ67_01145</t>
  </si>
  <si>
    <t>PAS_chr3_0535</t>
  </si>
  <si>
    <t>SCS7</t>
  </si>
  <si>
    <t>GQ67_03609</t>
  </si>
  <si>
    <t>PAS_chr2-2_0330</t>
  </si>
  <si>
    <t>AUR1</t>
  </si>
  <si>
    <t>GQ67_00997</t>
  </si>
  <si>
    <t>PAS_chr3_0735</t>
  </si>
  <si>
    <t>IPT1</t>
  </si>
  <si>
    <t>GQ67_03828</t>
  </si>
  <si>
    <t>PAS_chr3_0357</t>
  </si>
  <si>
    <t>GQ67_03419</t>
  </si>
  <si>
    <t>PAS_chr4_0587</t>
  </si>
  <si>
    <t>SHM1</t>
  </si>
  <si>
    <t>GQ67_04960</t>
  </si>
  <si>
    <t>PAS_chr2-2_0204</t>
  </si>
  <si>
    <t>CAB2</t>
  </si>
  <si>
    <t>GQ67_01132</t>
  </si>
  <si>
    <t>PAS_chr1-1_0062</t>
  </si>
  <si>
    <t>GQ67_02625</t>
  </si>
  <si>
    <t>PAS_chr3_0842</t>
  </si>
  <si>
    <t>THI20</t>
  </si>
  <si>
    <t>GQ67_03951</t>
  </si>
  <si>
    <t>PAS_chr2-1_0736</t>
  </si>
  <si>
    <t>RIB1</t>
  </si>
  <si>
    <t>GQ67_00803</t>
  </si>
  <si>
    <t>PAS_chr3_0406</t>
  </si>
  <si>
    <t>GQ67_03475</t>
  </si>
  <si>
    <t>PAS_chr3_0915</t>
  </si>
  <si>
    <t>BNA6</t>
  </si>
  <si>
    <t>GQ67_04038</t>
  </si>
  <si>
    <t>PAS_chr4_0137</t>
  </si>
  <si>
    <t>PBY1</t>
  </si>
  <si>
    <t>GQ67_04447</t>
  </si>
  <si>
    <t>PAS_c034_0024</t>
  </si>
  <si>
    <t>GQ67_01374</t>
  </si>
  <si>
    <t>PAS_chr2-1_0107</t>
  </si>
  <si>
    <t>GQ67_00133</t>
  </si>
  <si>
    <t>PAS_chr1-4_0303</t>
  </si>
  <si>
    <t>HEM3</t>
  </si>
  <si>
    <t>GQ67_01870</t>
  </si>
  <si>
    <t>PAS_chr3_0648</t>
  </si>
  <si>
    <t>THI4</t>
  </si>
  <si>
    <t>GQ67_03734</t>
  </si>
  <si>
    <t>PAS_chr1-4_0496</t>
  </si>
  <si>
    <t>GSH2</t>
  </si>
  <si>
    <t>GQ67_01654</t>
  </si>
  <si>
    <t>PAS_chr3_0843</t>
  </si>
  <si>
    <t>THI6</t>
  </si>
  <si>
    <t>GQ67_03952</t>
  </si>
  <si>
    <t>PAS_chr4_0065</t>
  </si>
  <si>
    <t>THI13</t>
  </si>
  <si>
    <t>GQ67_04371</t>
  </si>
  <si>
    <t>PAS_chr1-1_0401</t>
  </si>
  <si>
    <t>YMC1-like</t>
  </si>
  <si>
    <t>GQ67_02246</t>
  </si>
  <si>
    <t>PAS_chr3_0954</t>
  </si>
  <si>
    <t>HEM12</t>
  </si>
  <si>
    <t>GQ67_04082</t>
  </si>
  <si>
    <t>PAS_chr4_0877</t>
  </si>
  <si>
    <t>GQ67_05360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</si>
</sst>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18CF-F1D0-4951-A697-888399FEE895}">
  <dimension ref="A1:P263"/>
  <sheetViews>
    <sheetView tabSelected="1" workbookViewId="0">
      <selection activeCell="M2" sqref="M2"/>
    </sheetView>
  </sheetViews>
  <sheetFormatPr defaultRowHeight="14.4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0.75699372570147205</v>
      </c>
      <c r="F2" t="s">
        <v>20</v>
      </c>
      <c r="G2">
        <v>64.896311552242395</v>
      </c>
      <c r="H2">
        <f>_xlfn.RANK.EQ(G2,G$2:G$263)</f>
        <v>1</v>
      </c>
      <c r="I2">
        <v>65.067790851859399</v>
      </c>
      <c r="J2">
        <f>_xlfn.RANK.EQ(I2,I$2:I$263)</f>
        <v>1</v>
      </c>
      <c r="K2">
        <v>65.892519578743105</v>
      </c>
      <c r="L2">
        <f>_xlfn.RANK.EQ(K2,K$2:K$263)</f>
        <v>1</v>
      </c>
      <c r="M2">
        <v>63.512526706890398</v>
      </c>
      <c r="N2">
        <f>_xlfn.RANK.EQ(M2,M$2:M$263)</f>
        <v>1</v>
      </c>
      <c r="O2">
        <v>1</v>
      </c>
      <c r="P2">
        <v>0</v>
      </c>
    </row>
    <row r="3" spans="1:16">
      <c r="A3" t="s">
        <v>21</v>
      </c>
      <c r="B3" t="s">
        <v>17</v>
      </c>
      <c r="C3" t="s">
        <v>22</v>
      </c>
      <c r="D3" t="s">
        <v>22</v>
      </c>
      <c r="E3">
        <v>7.9346740414942996E-2</v>
      </c>
      <c r="F3" t="s">
        <v>20</v>
      </c>
      <c r="G3">
        <v>41.504068484368197</v>
      </c>
      <c r="H3">
        <f t="shared" ref="H3:H66" si="0">_xlfn.RANK.EQ(G3,G$2:G$263)</f>
        <v>2</v>
      </c>
      <c r="I3">
        <v>37.824109838042098</v>
      </c>
      <c r="J3">
        <f t="shared" ref="J3:J66" si="1">_xlfn.RANK.EQ(I3,I$2:I$263)</f>
        <v>3</v>
      </c>
      <c r="K3">
        <v>31.900130382865001</v>
      </c>
      <c r="L3">
        <f t="shared" ref="L3:L66" si="2">_xlfn.RANK.EQ(K3,K$2:K$263)</f>
        <v>7</v>
      </c>
      <c r="M3">
        <v>50.4804646403202</v>
      </c>
      <c r="N3">
        <f t="shared" ref="N3:N66" si="3">_xlfn.RANK.EQ(M3,M$2:M$263)</f>
        <v>2</v>
      </c>
      <c r="O3">
        <v>3.5</v>
      </c>
      <c r="P3">
        <v>5.6666666666666696</v>
      </c>
    </row>
    <row r="4" spans="1:16">
      <c r="A4" t="s">
        <v>23</v>
      </c>
      <c r="B4" t="s">
        <v>17</v>
      </c>
      <c r="C4" t="s">
        <v>24</v>
      </c>
      <c r="D4" t="s">
        <v>24</v>
      </c>
      <c r="E4">
        <v>4.2235303250737797</v>
      </c>
      <c r="F4" t="s">
        <v>25</v>
      </c>
      <c r="G4">
        <v>36.953375822659197</v>
      </c>
      <c r="H4">
        <f t="shared" si="0"/>
        <v>5</v>
      </c>
      <c r="I4">
        <v>39.6718394069445</v>
      </c>
      <c r="J4">
        <f t="shared" si="1"/>
        <v>2</v>
      </c>
      <c r="K4">
        <v>43.082086092584298</v>
      </c>
      <c r="L4">
        <f t="shared" si="2"/>
        <v>2</v>
      </c>
      <c r="M4">
        <v>35.536906384044599</v>
      </c>
      <c r="N4">
        <f t="shared" si="3"/>
        <v>7</v>
      </c>
      <c r="O4">
        <v>4</v>
      </c>
      <c r="P4">
        <v>6</v>
      </c>
    </row>
    <row r="5" spans="1:16">
      <c r="A5" t="s">
        <v>26</v>
      </c>
      <c r="B5" t="s">
        <v>17</v>
      </c>
      <c r="C5" t="s">
        <v>27</v>
      </c>
      <c r="D5" t="s">
        <v>28</v>
      </c>
      <c r="E5">
        <v>5.98413525269312E-2</v>
      </c>
      <c r="F5" t="s">
        <v>20</v>
      </c>
      <c r="G5">
        <v>37.177647714218701</v>
      </c>
      <c r="H5">
        <f t="shared" si="0"/>
        <v>3</v>
      </c>
      <c r="I5">
        <v>33.486257114584802</v>
      </c>
      <c r="J5">
        <f t="shared" si="1"/>
        <v>6</v>
      </c>
      <c r="K5">
        <v>27.5072957442821</v>
      </c>
      <c r="L5">
        <f t="shared" si="2"/>
        <v>9</v>
      </c>
      <c r="M5">
        <v>46.246296193194198</v>
      </c>
      <c r="N5">
        <f t="shared" si="3"/>
        <v>3</v>
      </c>
      <c r="O5">
        <v>5.25</v>
      </c>
      <c r="P5">
        <v>8.25</v>
      </c>
    </row>
    <row r="6" spans="1:16">
      <c r="A6" t="s">
        <v>29</v>
      </c>
      <c r="B6" t="s">
        <v>30</v>
      </c>
      <c r="C6" t="s">
        <v>31</v>
      </c>
      <c r="D6" t="s">
        <v>32</v>
      </c>
      <c r="E6">
        <v>0.95405732856740599</v>
      </c>
      <c r="F6" t="s">
        <v>25</v>
      </c>
      <c r="G6">
        <v>34.7633179311361</v>
      </c>
      <c r="H6">
        <f t="shared" si="0"/>
        <v>6</v>
      </c>
      <c r="I6">
        <v>34.036604219630803</v>
      </c>
      <c r="J6">
        <f t="shared" si="1"/>
        <v>4</v>
      </c>
      <c r="K6">
        <v>32.203753491147303</v>
      </c>
      <c r="L6">
        <f t="shared" si="2"/>
        <v>6</v>
      </c>
      <c r="M6">
        <v>45.5591722541539</v>
      </c>
      <c r="N6">
        <f t="shared" si="3"/>
        <v>5</v>
      </c>
      <c r="O6">
        <v>5.25</v>
      </c>
      <c r="P6">
        <v>0.91666666666666696</v>
      </c>
    </row>
    <row r="7" spans="1:16">
      <c r="A7" t="s">
        <v>33</v>
      </c>
      <c r="B7" t="s">
        <v>30</v>
      </c>
      <c r="C7" t="s">
        <v>34</v>
      </c>
      <c r="D7" t="s">
        <v>35</v>
      </c>
      <c r="E7">
        <v>1.0557547879968301</v>
      </c>
      <c r="F7" t="s">
        <v>20</v>
      </c>
      <c r="G7">
        <v>37.175146503452602</v>
      </c>
      <c r="H7">
        <f t="shared" si="0"/>
        <v>4</v>
      </c>
      <c r="I7">
        <v>33.484440170960902</v>
      </c>
      <c r="J7">
        <f t="shared" si="1"/>
        <v>7</v>
      </c>
      <c r="K7">
        <v>27.8392872212996</v>
      </c>
      <c r="L7">
        <f t="shared" si="2"/>
        <v>8</v>
      </c>
      <c r="M7">
        <v>46.242620013786699</v>
      </c>
      <c r="N7">
        <f t="shared" si="3"/>
        <v>4</v>
      </c>
      <c r="O7">
        <v>5.75</v>
      </c>
      <c r="P7">
        <v>4.25</v>
      </c>
    </row>
    <row r="8" spans="1:16">
      <c r="A8" t="s">
        <v>36</v>
      </c>
      <c r="B8" t="s">
        <v>17</v>
      </c>
      <c r="C8" t="s">
        <v>36</v>
      </c>
      <c r="D8" t="s">
        <v>37</v>
      </c>
      <c r="E8" t="s">
        <v>38</v>
      </c>
      <c r="F8" t="s">
        <v>25</v>
      </c>
      <c r="G8">
        <v>32.631788586767001</v>
      </c>
      <c r="H8">
        <f t="shared" si="0"/>
        <v>8</v>
      </c>
      <c r="I8">
        <v>33.916306450812897</v>
      </c>
      <c r="J8">
        <f t="shared" si="1"/>
        <v>5</v>
      </c>
      <c r="K8">
        <v>37.828154874657201</v>
      </c>
      <c r="L8">
        <f t="shared" si="2"/>
        <v>3</v>
      </c>
      <c r="M8">
        <v>30.2716036530162</v>
      </c>
      <c r="N8">
        <f t="shared" si="3"/>
        <v>11</v>
      </c>
      <c r="O8">
        <v>6.75</v>
      </c>
      <c r="P8">
        <v>12.25</v>
      </c>
    </row>
    <row r="9" spans="1:16">
      <c r="A9" t="s">
        <v>39</v>
      </c>
      <c r="B9" t="s">
        <v>17</v>
      </c>
      <c r="C9" t="s">
        <v>40</v>
      </c>
      <c r="D9" t="s">
        <v>41</v>
      </c>
      <c r="E9">
        <v>1.8365661671446201</v>
      </c>
      <c r="F9" t="s">
        <v>20</v>
      </c>
      <c r="G9">
        <v>32.448155776121197</v>
      </c>
      <c r="H9">
        <f t="shared" si="0"/>
        <v>9</v>
      </c>
      <c r="I9">
        <v>32.5338954259297</v>
      </c>
      <c r="J9">
        <f t="shared" si="1"/>
        <v>8</v>
      </c>
      <c r="K9">
        <v>32.946259789371602</v>
      </c>
      <c r="L9">
        <f t="shared" si="2"/>
        <v>4</v>
      </c>
      <c r="M9">
        <v>31.756263353445199</v>
      </c>
      <c r="N9">
        <f t="shared" si="3"/>
        <v>9</v>
      </c>
      <c r="O9">
        <v>7.5</v>
      </c>
      <c r="P9">
        <v>5.6666666666666696</v>
      </c>
    </row>
    <row r="10" spans="1:16">
      <c r="A10" t="s">
        <v>42</v>
      </c>
      <c r="B10" t="s">
        <v>17</v>
      </c>
      <c r="C10" t="s">
        <v>43</v>
      </c>
      <c r="D10" t="s">
        <v>44</v>
      </c>
      <c r="E10">
        <v>0.10463413398132899</v>
      </c>
      <c r="F10" t="s">
        <v>20</v>
      </c>
      <c r="G10">
        <v>32.448155776121197</v>
      </c>
      <c r="H10">
        <f t="shared" si="0"/>
        <v>9</v>
      </c>
      <c r="I10">
        <v>32.5338954259297</v>
      </c>
      <c r="J10">
        <f t="shared" si="1"/>
        <v>8</v>
      </c>
      <c r="K10">
        <v>32.946259789371602</v>
      </c>
      <c r="L10">
        <f t="shared" si="2"/>
        <v>4</v>
      </c>
      <c r="M10">
        <v>31.756263353445199</v>
      </c>
      <c r="N10">
        <f t="shared" si="3"/>
        <v>9</v>
      </c>
      <c r="O10">
        <v>8.5</v>
      </c>
      <c r="P10">
        <v>5.6666666666666696</v>
      </c>
    </row>
    <row r="11" spans="1:16">
      <c r="A11" t="s">
        <v>45</v>
      </c>
      <c r="B11" t="s">
        <v>17</v>
      </c>
      <c r="C11" t="s">
        <v>46</v>
      </c>
      <c r="D11" t="s">
        <v>47</v>
      </c>
      <c r="E11">
        <v>0.44833514061471402</v>
      </c>
      <c r="F11" t="s">
        <v>48</v>
      </c>
      <c r="G11">
        <v>21.632103850747502</v>
      </c>
      <c r="H11">
        <f t="shared" si="0"/>
        <v>12</v>
      </c>
      <c r="I11">
        <v>21.6892636172865</v>
      </c>
      <c r="J11">
        <f t="shared" si="1"/>
        <v>11</v>
      </c>
      <c r="K11">
        <v>21.964173192914402</v>
      </c>
      <c r="L11">
        <f t="shared" si="2"/>
        <v>10</v>
      </c>
      <c r="M11">
        <v>21.170842235630101</v>
      </c>
      <c r="N11">
        <f t="shared" si="3"/>
        <v>16</v>
      </c>
      <c r="O11">
        <v>12.25</v>
      </c>
      <c r="P11">
        <v>6.9166666666666696</v>
      </c>
    </row>
    <row r="12" spans="1:16">
      <c r="A12" t="s">
        <v>49</v>
      </c>
      <c r="B12" t="s">
        <v>17</v>
      </c>
      <c r="C12" t="s">
        <v>50</v>
      </c>
      <c r="D12" t="s">
        <v>51</v>
      </c>
      <c r="E12">
        <v>3.1428751058048601</v>
      </c>
      <c r="F12" t="s">
        <v>48</v>
      </c>
      <c r="G12">
        <v>21.632103850747502</v>
      </c>
      <c r="H12">
        <f t="shared" si="0"/>
        <v>12</v>
      </c>
      <c r="I12">
        <v>21.6892636172865</v>
      </c>
      <c r="J12">
        <f t="shared" si="1"/>
        <v>11</v>
      </c>
      <c r="K12">
        <v>21.964173192914402</v>
      </c>
      <c r="L12">
        <f t="shared" si="2"/>
        <v>10</v>
      </c>
      <c r="M12">
        <v>21.170842235630101</v>
      </c>
      <c r="N12">
        <f t="shared" si="3"/>
        <v>16</v>
      </c>
      <c r="O12">
        <v>13.25</v>
      </c>
      <c r="P12">
        <v>6.9166666666666696</v>
      </c>
    </row>
    <row r="13" spans="1:16">
      <c r="A13" t="s">
        <v>52</v>
      </c>
      <c r="B13" t="s">
        <v>17</v>
      </c>
      <c r="C13" t="s">
        <v>53</v>
      </c>
      <c r="D13" t="s">
        <v>54</v>
      </c>
      <c r="E13">
        <v>1.33798722406547</v>
      </c>
      <c r="F13" t="s">
        <v>48</v>
      </c>
      <c r="G13">
        <v>21.632103850747502</v>
      </c>
      <c r="H13">
        <f t="shared" si="0"/>
        <v>12</v>
      </c>
      <c r="I13">
        <v>21.6892636172865</v>
      </c>
      <c r="J13">
        <f t="shared" si="1"/>
        <v>11</v>
      </c>
      <c r="K13">
        <v>21.964173192914402</v>
      </c>
      <c r="L13">
        <f t="shared" si="2"/>
        <v>10</v>
      </c>
      <c r="M13">
        <v>21.170842235630101</v>
      </c>
      <c r="N13">
        <f t="shared" si="3"/>
        <v>16</v>
      </c>
      <c r="O13">
        <v>14.25</v>
      </c>
      <c r="P13">
        <v>6.9166666666666696</v>
      </c>
    </row>
    <row r="14" spans="1:16">
      <c r="A14" t="s">
        <v>55</v>
      </c>
      <c r="B14" t="s">
        <v>17</v>
      </c>
      <c r="C14" t="s">
        <v>56</v>
      </c>
      <c r="D14" t="s">
        <v>56</v>
      </c>
      <c r="E14">
        <v>1.35820258783736</v>
      </c>
      <c r="F14" t="s">
        <v>48</v>
      </c>
      <c r="G14">
        <v>21.632103850747502</v>
      </c>
      <c r="H14">
        <f t="shared" si="0"/>
        <v>12</v>
      </c>
      <c r="I14">
        <v>21.6892636172865</v>
      </c>
      <c r="J14">
        <f t="shared" si="1"/>
        <v>11</v>
      </c>
      <c r="K14">
        <v>21.964173192914402</v>
      </c>
      <c r="L14">
        <f t="shared" si="2"/>
        <v>10</v>
      </c>
      <c r="M14">
        <v>21.170842235630101</v>
      </c>
      <c r="N14">
        <f t="shared" si="3"/>
        <v>16</v>
      </c>
      <c r="O14">
        <v>15.25</v>
      </c>
      <c r="P14">
        <v>6.9166666666666696</v>
      </c>
    </row>
    <row r="15" spans="1:16">
      <c r="A15" t="s">
        <v>57</v>
      </c>
      <c r="B15" t="s">
        <v>17</v>
      </c>
      <c r="C15" t="s">
        <v>58</v>
      </c>
      <c r="D15" t="s">
        <v>59</v>
      </c>
      <c r="E15">
        <v>1.9738717719171801</v>
      </c>
      <c r="F15" t="s">
        <v>48</v>
      </c>
      <c r="G15">
        <v>21.632103850747502</v>
      </c>
      <c r="H15">
        <f t="shared" si="0"/>
        <v>12</v>
      </c>
      <c r="I15">
        <v>21.6892636172865</v>
      </c>
      <c r="J15">
        <f t="shared" si="1"/>
        <v>11</v>
      </c>
      <c r="K15">
        <v>21.964173192914402</v>
      </c>
      <c r="L15">
        <f t="shared" si="2"/>
        <v>10</v>
      </c>
      <c r="M15">
        <v>21.170842235630101</v>
      </c>
      <c r="N15">
        <f t="shared" si="3"/>
        <v>16</v>
      </c>
      <c r="O15">
        <v>16.25</v>
      </c>
      <c r="P15">
        <v>6.9166666666666696</v>
      </c>
    </row>
    <row r="16" spans="1:16">
      <c r="A16" t="s">
        <v>60</v>
      </c>
      <c r="B16" t="s">
        <v>17</v>
      </c>
      <c r="C16" t="s">
        <v>61</v>
      </c>
      <c r="D16" t="s">
        <v>62</v>
      </c>
      <c r="E16">
        <v>2.4143247231182499</v>
      </c>
      <c r="F16" t="s">
        <v>48</v>
      </c>
      <c r="G16">
        <v>21.632103850747502</v>
      </c>
      <c r="H16">
        <f t="shared" si="0"/>
        <v>12</v>
      </c>
      <c r="I16">
        <v>21.6892636172865</v>
      </c>
      <c r="J16">
        <f t="shared" si="1"/>
        <v>11</v>
      </c>
      <c r="K16">
        <v>21.964173192914402</v>
      </c>
      <c r="L16">
        <f t="shared" si="2"/>
        <v>10</v>
      </c>
      <c r="M16">
        <v>21.170842235630101</v>
      </c>
      <c r="N16">
        <f t="shared" si="3"/>
        <v>16</v>
      </c>
      <c r="O16">
        <v>17.25</v>
      </c>
      <c r="P16">
        <v>6.9166666666666696</v>
      </c>
    </row>
    <row r="17" spans="1:16">
      <c r="A17" t="s">
        <v>63</v>
      </c>
      <c r="B17" t="s">
        <v>17</v>
      </c>
      <c r="C17" t="s">
        <v>64</v>
      </c>
      <c r="D17" t="s">
        <v>65</v>
      </c>
      <c r="E17">
        <v>0.31250147474629397</v>
      </c>
      <c r="F17" t="s">
        <v>48</v>
      </c>
      <c r="G17">
        <v>21.632103850747502</v>
      </c>
      <c r="H17">
        <f t="shared" si="0"/>
        <v>12</v>
      </c>
      <c r="I17">
        <v>21.6892636172865</v>
      </c>
      <c r="J17">
        <f t="shared" si="1"/>
        <v>11</v>
      </c>
      <c r="K17">
        <v>21.964173192914402</v>
      </c>
      <c r="L17">
        <f t="shared" si="2"/>
        <v>10</v>
      </c>
      <c r="M17">
        <v>21.170842235630101</v>
      </c>
      <c r="N17">
        <f t="shared" si="3"/>
        <v>16</v>
      </c>
      <c r="O17">
        <v>18.25</v>
      </c>
      <c r="P17">
        <v>6.9166666666666696</v>
      </c>
    </row>
    <row r="18" spans="1:16">
      <c r="A18" t="s">
        <v>66</v>
      </c>
      <c r="B18" t="s">
        <v>17</v>
      </c>
      <c r="C18" t="s">
        <v>67</v>
      </c>
      <c r="D18" t="s">
        <v>68</v>
      </c>
      <c r="E18">
        <v>1.5718094951574699</v>
      </c>
      <c r="F18" t="s">
        <v>48</v>
      </c>
      <c r="G18">
        <v>21.632103850747502</v>
      </c>
      <c r="H18">
        <f t="shared" si="0"/>
        <v>12</v>
      </c>
      <c r="I18">
        <v>21.6892636172865</v>
      </c>
      <c r="J18">
        <f t="shared" si="1"/>
        <v>11</v>
      </c>
      <c r="K18">
        <v>21.964173192914402</v>
      </c>
      <c r="L18">
        <f t="shared" si="2"/>
        <v>10</v>
      </c>
      <c r="M18">
        <v>21.170842235630101</v>
      </c>
      <c r="N18">
        <f t="shared" si="3"/>
        <v>16</v>
      </c>
      <c r="O18">
        <v>19.25</v>
      </c>
      <c r="P18">
        <v>6.9166666666666696</v>
      </c>
    </row>
    <row r="19" spans="1:16">
      <c r="A19" t="s">
        <v>69</v>
      </c>
      <c r="B19" t="s">
        <v>17</v>
      </c>
      <c r="C19" t="s">
        <v>70</v>
      </c>
      <c r="D19" t="s">
        <v>71</v>
      </c>
      <c r="E19">
        <v>2.8594260692825899</v>
      </c>
      <c r="F19" t="s">
        <v>48</v>
      </c>
      <c r="G19">
        <v>21.632103850747502</v>
      </c>
      <c r="H19">
        <f t="shared" si="0"/>
        <v>12</v>
      </c>
      <c r="I19">
        <v>21.6892636172865</v>
      </c>
      <c r="J19">
        <f t="shared" si="1"/>
        <v>11</v>
      </c>
      <c r="K19">
        <v>21.964173192914402</v>
      </c>
      <c r="L19">
        <f t="shared" si="2"/>
        <v>10</v>
      </c>
      <c r="M19">
        <v>21.170842235630101</v>
      </c>
      <c r="N19">
        <f t="shared" si="3"/>
        <v>16</v>
      </c>
      <c r="O19">
        <v>20.25</v>
      </c>
      <c r="P19">
        <v>6.9166666666666696</v>
      </c>
    </row>
    <row r="20" spans="1:16">
      <c r="A20" t="s">
        <v>72</v>
      </c>
      <c r="B20" t="s">
        <v>17</v>
      </c>
      <c r="C20" t="s">
        <v>73</v>
      </c>
      <c r="D20" t="s">
        <v>74</v>
      </c>
      <c r="E20">
        <v>8.9099701560794008E-3</v>
      </c>
      <c r="F20" t="s">
        <v>48</v>
      </c>
      <c r="G20">
        <v>21.632103850747502</v>
      </c>
      <c r="H20">
        <f t="shared" si="0"/>
        <v>12</v>
      </c>
      <c r="I20">
        <v>21.6892636172865</v>
      </c>
      <c r="J20">
        <f t="shared" si="1"/>
        <v>11</v>
      </c>
      <c r="K20">
        <v>21.964173192914402</v>
      </c>
      <c r="L20">
        <f t="shared" si="2"/>
        <v>10</v>
      </c>
      <c r="M20">
        <v>21.170842235630101</v>
      </c>
      <c r="N20">
        <f t="shared" si="3"/>
        <v>16</v>
      </c>
      <c r="O20">
        <v>21.25</v>
      </c>
      <c r="P20">
        <v>6.9166666666666696</v>
      </c>
    </row>
    <row r="21" spans="1:16">
      <c r="A21" t="s">
        <v>75</v>
      </c>
      <c r="B21" t="s">
        <v>17</v>
      </c>
      <c r="C21" t="s">
        <v>76</v>
      </c>
      <c r="D21" t="s">
        <v>77</v>
      </c>
      <c r="E21">
        <v>1.37944578226437</v>
      </c>
      <c r="F21" t="s">
        <v>48</v>
      </c>
      <c r="G21">
        <v>21.632103850747502</v>
      </c>
      <c r="H21">
        <f t="shared" si="0"/>
        <v>12</v>
      </c>
      <c r="I21">
        <v>21.6892636172865</v>
      </c>
      <c r="J21">
        <f t="shared" si="1"/>
        <v>11</v>
      </c>
      <c r="K21">
        <v>21.964173192914402</v>
      </c>
      <c r="L21">
        <f t="shared" si="2"/>
        <v>10</v>
      </c>
      <c r="M21">
        <v>21.170842235630101</v>
      </c>
      <c r="N21">
        <f t="shared" si="3"/>
        <v>16</v>
      </c>
      <c r="O21">
        <v>22.25</v>
      </c>
      <c r="P21">
        <v>6.9166666666666696</v>
      </c>
    </row>
    <row r="22" spans="1:16">
      <c r="A22" t="s">
        <v>78</v>
      </c>
      <c r="B22" t="s">
        <v>30</v>
      </c>
      <c r="C22" t="s">
        <v>79</v>
      </c>
      <c r="D22" t="s">
        <v>80</v>
      </c>
      <c r="E22">
        <v>0.743421434345784</v>
      </c>
      <c r="F22" t="s">
        <v>20</v>
      </c>
      <c r="G22">
        <v>19.351388261103001</v>
      </c>
      <c r="H22">
        <f t="shared" si="0"/>
        <v>27</v>
      </c>
      <c r="I22">
        <v>17.7925074039631</v>
      </c>
      <c r="J22">
        <f t="shared" si="1"/>
        <v>27</v>
      </c>
      <c r="K22">
        <v>17.3650739280301</v>
      </c>
      <c r="L22">
        <f t="shared" si="2"/>
        <v>25</v>
      </c>
      <c r="M22">
        <v>26.041460280693698</v>
      </c>
      <c r="N22">
        <f t="shared" si="3"/>
        <v>12</v>
      </c>
      <c r="O22">
        <v>22.75</v>
      </c>
      <c r="P22">
        <v>52.25</v>
      </c>
    </row>
    <row r="23" spans="1:16">
      <c r="A23" t="s">
        <v>81</v>
      </c>
      <c r="B23" t="s">
        <v>17</v>
      </c>
      <c r="C23" t="s">
        <v>81</v>
      </c>
      <c r="D23" t="s">
        <v>82</v>
      </c>
      <c r="E23" t="s">
        <v>38</v>
      </c>
      <c r="F23" t="s">
        <v>48</v>
      </c>
      <c r="G23">
        <v>21.632103850747502</v>
      </c>
      <c r="H23">
        <f t="shared" si="0"/>
        <v>12</v>
      </c>
      <c r="I23">
        <v>21.6892636172865</v>
      </c>
      <c r="J23">
        <f t="shared" si="1"/>
        <v>11</v>
      </c>
      <c r="K23">
        <v>21.964173192914402</v>
      </c>
      <c r="L23">
        <f t="shared" si="2"/>
        <v>10</v>
      </c>
      <c r="M23">
        <v>21.170842235630101</v>
      </c>
      <c r="N23">
        <f t="shared" si="3"/>
        <v>16</v>
      </c>
      <c r="O23">
        <v>23.25</v>
      </c>
      <c r="P23">
        <v>6.9166666666666696</v>
      </c>
    </row>
    <row r="24" spans="1:16">
      <c r="A24" t="s">
        <v>83</v>
      </c>
      <c r="B24" t="s">
        <v>17</v>
      </c>
      <c r="C24" t="s">
        <v>84</v>
      </c>
      <c r="D24" t="s">
        <v>85</v>
      </c>
      <c r="E24">
        <v>4.6402203280757499</v>
      </c>
      <c r="F24" t="s">
        <v>48</v>
      </c>
      <c r="G24">
        <v>21.632103850747502</v>
      </c>
      <c r="H24">
        <f t="shared" si="0"/>
        <v>12</v>
      </c>
      <c r="I24">
        <v>21.6892636172865</v>
      </c>
      <c r="J24">
        <f t="shared" si="1"/>
        <v>11</v>
      </c>
      <c r="K24">
        <v>21.964173192914402</v>
      </c>
      <c r="L24">
        <f t="shared" si="2"/>
        <v>10</v>
      </c>
      <c r="M24">
        <v>21.170842235630101</v>
      </c>
      <c r="N24">
        <f t="shared" si="3"/>
        <v>16</v>
      </c>
      <c r="O24">
        <v>24.25</v>
      </c>
      <c r="P24">
        <v>6.9166666666666696</v>
      </c>
    </row>
    <row r="25" spans="1:16">
      <c r="A25" t="s">
        <v>86</v>
      </c>
      <c r="B25" t="s">
        <v>17</v>
      </c>
      <c r="C25" t="s">
        <v>87</v>
      </c>
      <c r="D25" t="s">
        <v>88</v>
      </c>
      <c r="E25">
        <v>1.2931982633144199</v>
      </c>
      <c r="F25" t="s">
        <v>48</v>
      </c>
      <c r="G25">
        <v>21.632103850747502</v>
      </c>
      <c r="H25">
        <f t="shared" si="0"/>
        <v>12</v>
      </c>
      <c r="I25">
        <v>21.6892636172865</v>
      </c>
      <c r="J25">
        <f t="shared" si="1"/>
        <v>11</v>
      </c>
      <c r="K25">
        <v>21.964173192914402</v>
      </c>
      <c r="L25">
        <f t="shared" si="2"/>
        <v>10</v>
      </c>
      <c r="M25">
        <v>21.170842235630101</v>
      </c>
      <c r="N25">
        <f t="shared" si="3"/>
        <v>16</v>
      </c>
      <c r="O25">
        <v>25.25</v>
      </c>
      <c r="P25">
        <v>6.9166666666666696</v>
      </c>
    </row>
    <row r="26" spans="1:16">
      <c r="A26" t="s">
        <v>89</v>
      </c>
      <c r="B26" t="s">
        <v>30</v>
      </c>
      <c r="C26" t="s">
        <v>90</v>
      </c>
      <c r="D26" t="s">
        <v>91</v>
      </c>
      <c r="E26">
        <v>9.0653016444227005E-2</v>
      </c>
      <c r="F26" t="s">
        <v>20</v>
      </c>
      <c r="G26">
        <v>21.070741738595999</v>
      </c>
      <c r="H26">
        <f t="shared" si="0"/>
        <v>26</v>
      </c>
      <c r="I26">
        <v>21.459524389089999</v>
      </c>
      <c r="J26">
        <f t="shared" si="1"/>
        <v>25</v>
      </c>
      <c r="K26">
        <v>21.789993432339799</v>
      </c>
      <c r="L26">
        <f t="shared" si="2"/>
        <v>24</v>
      </c>
      <c r="M26">
        <v>20.305070305833699</v>
      </c>
      <c r="N26">
        <f t="shared" si="3"/>
        <v>30</v>
      </c>
      <c r="O26">
        <v>26.25</v>
      </c>
      <c r="P26">
        <v>6.9166666666666696</v>
      </c>
    </row>
    <row r="27" spans="1:16">
      <c r="A27" t="s">
        <v>92</v>
      </c>
      <c r="B27" t="s">
        <v>93</v>
      </c>
      <c r="C27" t="s">
        <v>94</v>
      </c>
      <c r="D27" t="s">
        <v>95</v>
      </c>
      <c r="E27">
        <v>0.39725181523033198</v>
      </c>
      <c r="F27" t="s">
        <v>20</v>
      </c>
      <c r="G27">
        <v>34.027194905334298</v>
      </c>
      <c r="H27">
        <f t="shared" si="0"/>
        <v>7</v>
      </c>
      <c r="I27">
        <v>22.8518902355619</v>
      </c>
      <c r="J27">
        <f t="shared" si="1"/>
        <v>10</v>
      </c>
      <c r="K27">
        <v>3.3563177691099302</v>
      </c>
      <c r="L27">
        <f t="shared" si="2"/>
        <v>87</v>
      </c>
      <c r="M27">
        <v>35.629725808028297</v>
      </c>
      <c r="N27">
        <f t="shared" si="3"/>
        <v>6</v>
      </c>
      <c r="O27">
        <v>27.75</v>
      </c>
      <c r="P27">
        <v>1616.25</v>
      </c>
    </row>
    <row r="28" spans="1:16">
      <c r="A28" t="s">
        <v>96</v>
      </c>
      <c r="B28" t="s">
        <v>93</v>
      </c>
      <c r="C28" t="s">
        <v>97</v>
      </c>
      <c r="D28" t="s">
        <v>98</v>
      </c>
      <c r="E28">
        <v>8.2816979241969194E-2</v>
      </c>
      <c r="F28" t="s">
        <v>48</v>
      </c>
      <c r="G28">
        <v>11.667160166771099</v>
      </c>
      <c r="H28">
        <f t="shared" si="0"/>
        <v>42</v>
      </c>
      <c r="I28">
        <v>14.8714835806922</v>
      </c>
      <c r="J28">
        <f t="shared" si="1"/>
        <v>30</v>
      </c>
      <c r="K28">
        <v>16.079528934235601</v>
      </c>
      <c r="L28">
        <f t="shared" si="2"/>
        <v>30</v>
      </c>
      <c r="M28">
        <v>21.6186860272568</v>
      </c>
      <c r="N28">
        <f t="shared" si="3"/>
        <v>14</v>
      </c>
      <c r="O28">
        <v>29</v>
      </c>
      <c r="P28">
        <v>132</v>
      </c>
    </row>
    <row r="29" spans="1:16">
      <c r="A29" t="s">
        <v>99</v>
      </c>
      <c r="B29" t="s">
        <v>93</v>
      </c>
      <c r="C29" t="s">
        <v>100</v>
      </c>
      <c r="D29" t="s">
        <v>101</v>
      </c>
      <c r="E29">
        <v>8.3966203694315705E-2</v>
      </c>
      <c r="F29" t="s">
        <v>48</v>
      </c>
      <c r="G29">
        <v>11.667160166771099</v>
      </c>
      <c r="H29">
        <f t="shared" si="0"/>
        <v>42</v>
      </c>
      <c r="I29">
        <v>14.8714835806922</v>
      </c>
      <c r="J29">
        <f t="shared" si="1"/>
        <v>30</v>
      </c>
      <c r="K29">
        <v>16.079528934235601</v>
      </c>
      <c r="L29">
        <f t="shared" si="2"/>
        <v>30</v>
      </c>
      <c r="M29">
        <v>21.6186860272568</v>
      </c>
      <c r="N29">
        <f t="shared" si="3"/>
        <v>14</v>
      </c>
      <c r="O29">
        <v>30</v>
      </c>
      <c r="P29">
        <v>132</v>
      </c>
    </row>
    <row r="30" spans="1:16">
      <c r="A30" t="s">
        <v>102</v>
      </c>
      <c r="B30" t="s">
        <v>17</v>
      </c>
      <c r="C30" t="s">
        <v>103</v>
      </c>
      <c r="D30" t="s">
        <v>104</v>
      </c>
      <c r="E30">
        <v>7.3031821719064E-2</v>
      </c>
      <c r="F30" t="s">
        <v>25</v>
      </c>
      <c r="G30">
        <v>16.145140930767699</v>
      </c>
      <c r="H30">
        <f t="shared" si="0"/>
        <v>31</v>
      </c>
      <c r="I30">
        <v>16.144781685418099</v>
      </c>
      <c r="J30">
        <f t="shared" si="1"/>
        <v>28</v>
      </c>
      <c r="K30">
        <v>16.148131513210899</v>
      </c>
      <c r="L30">
        <f t="shared" si="2"/>
        <v>27</v>
      </c>
      <c r="M30">
        <v>16.1378794345136</v>
      </c>
      <c r="N30">
        <f t="shared" si="3"/>
        <v>34</v>
      </c>
      <c r="O30">
        <v>30</v>
      </c>
      <c r="P30">
        <v>10</v>
      </c>
    </row>
    <row r="31" spans="1:16">
      <c r="A31" t="s">
        <v>105</v>
      </c>
      <c r="B31" t="s">
        <v>93</v>
      </c>
      <c r="C31" t="s">
        <v>106</v>
      </c>
      <c r="D31" t="s">
        <v>107</v>
      </c>
      <c r="E31">
        <v>0.39365431740004497</v>
      </c>
      <c r="F31" t="s">
        <v>20</v>
      </c>
      <c r="G31">
        <v>19.032371175809502</v>
      </c>
      <c r="H31">
        <f t="shared" si="0"/>
        <v>28</v>
      </c>
      <c r="I31">
        <v>13.5870461815894</v>
      </c>
      <c r="J31">
        <f t="shared" si="1"/>
        <v>32</v>
      </c>
      <c r="K31">
        <v>10.795994737867501</v>
      </c>
      <c r="L31">
        <f t="shared" si="2"/>
        <v>32</v>
      </c>
      <c r="M31">
        <v>12.5979655137915</v>
      </c>
      <c r="N31">
        <f t="shared" si="3"/>
        <v>39</v>
      </c>
      <c r="O31">
        <v>32.75</v>
      </c>
      <c r="P31">
        <v>20.9166666666667</v>
      </c>
    </row>
    <row r="32" spans="1:16">
      <c r="A32" t="s">
        <v>108</v>
      </c>
      <c r="B32" t="s">
        <v>93</v>
      </c>
      <c r="C32" t="s">
        <v>109</v>
      </c>
      <c r="D32" t="s">
        <v>110</v>
      </c>
      <c r="E32">
        <v>0.23985241894887299</v>
      </c>
      <c r="F32" t="s">
        <v>20</v>
      </c>
      <c r="G32">
        <v>30.217184540135399</v>
      </c>
      <c r="H32">
        <f t="shared" si="0"/>
        <v>11</v>
      </c>
      <c r="I32">
        <v>20.812522539616499</v>
      </c>
      <c r="J32">
        <f t="shared" si="1"/>
        <v>26</v>
      </c>
      <c r="K32">
        <v>3.3563177691099302</v>
      </c>
      <c r="L32">
        <f t="shared" si="2"/>
        <v>87</v>
      </c>
      <c r="M32">
        <v>31.874732589068699</v>
      </c>
      <c r="N32">
        <f t="shared" si="3"/>
        <v>8</v>
      </c>
      <c r="O32">
        <v>33</v>
      </c>
      <c r="P32">
        <v>1358</v>
      </c>
    </row>
    <row r="33" spans="1:16">
      <c r="A33" t="s">
        <v>111</v>
      </c>
      <c r="B33" t="s">
        <v>112</v>
      </c>
      <c r="C33" t="s">
        <v>113</v>
      </c>
      <c r="D33" t="s">
        <v>114</v>
      </c>
      <c r="E33">
        <v>0.374236654878844</v>
      </c>
      <c r="F33" t="s">
        <v>20</v>
      </c>
      <c r="G33">
        <v>15.4739103278556</v>
      </c>
      <c r="H33">
        <f t="shared" si="0"/>
        <v>32</v>
      </c>
      <c r="I33">
        <v>12.5452948107148</v>
      </c>
      <c r="J33">
        <f t="shared" si="1"/>
        <v>33</v>
      </c>
      <c r="K33">
        <v>17.012866111141101</v>
      </c>
      <c r="L33">
        <f t="shared" si="2"/>
        <v>26</v>
      </c>
      <c r="M33">
        <v>11.254663451862999</v>
      </c>
      <c r="N33">
        <f t="shared" si="3"/>
        <v>42</v>
      </c>
      <c r="O33">
        <v>33.25</v>
      </c>
      <c r="P33">
        <v>43.5833333333333</v>
      </c>
    </row>
    <row r="34" spans="1:16">
      <c r="A34" t="s">
        <v>115</v>
      </c>
      <c r="B34" t="s">
        <v>17</v>
      </c>
      <c r="C34" t="s">
        <v>116</v>
      </c>
      <c r="D34" t="s">
        <v>117</v>
      </c>
      <c r="E34">
        <v>0.423216038793995</v>
      </c>
      <c r="F34" t="s">
        <v>25</v>
      </c>
      <c r="G34">
        <v>12.864455209453</v>
      </c>
      <c r="H34">
        <f t="shared" si="0"/>
        <v>39</v>
      </c>
      <c r="I34">
        <v>10.180892961486901</v>
      </c>
      <c r="J34">
        <f t="shared" si="1"/>
        <v>34</v>
      </c>
      <c r="K34">
        <v>9.0395665746363907</v>
      </c>
      <c r="L34">
        <f t="shared" si="2"/>
        <v>36</v>
      </c>
      <c r="M34">
        <v>10.366829504789401</v>
      </c>
      <c r="N34">
        <f t="shared" si="3"/>
        <v>45</v>
      </c>
      <c r="O34">
        <v>38.5</v>
      </c>
      <c r="P34">
        <v>23</v>
      </c>
    </row>
    <row r="35" spans="1:16">
      <c r="A35" t="s">
        <v>118</v>
      </c>
      <c r="B35" t="s">
        <v>17</v>
      </c>
      <c r="C35" t="s">
        <v>119</v>
      </c>
      <c r="D35" t="s">
        <v>120</v>
      </c>
      <c r="E35">
        <v>5.0894077243214597E-2</v>
      </c>
      <c r="F35" t="s">
        <v>20</v>
      </c>
      <c r="G35">
        <v>9.6710366226188302</v>
      </c>
      <c r="H35">
        <f t="shared" si="0"/>
        <v>49</v>
      </c>
      <c r="I35">
        <v>8.8928901041245698</v>
      </c>
      <c r="J35">
        <f t="shared" si="1"/>
        <v>36</v>
      </c>
      <c r="K35">
        <v>8.6798743365785604</v>
      </c>
      <c r="L35">
        <f t="shared" si="2"/>
        <v>38</v>
      </c>
      <c r="M35">
        <v>13.0142685869234</v>
      </c>
      <c r="N35">
        <f t="shared" si="3"/>
        <v>35</v>
      </c>
      <c r="O35">
        <v>39.5</v>
      </c>
      <c r="P35">
        <v>41.6666666666667</v>
      </c>
    </row>
    <row r="36" spans="1:16">
      <c r="A36" t="s">
        <v>121</v>
      </c>
      <c r="B36" t="s">
        <v>17</v>
      </c>
      <c r="C36" t="s">
        <v>122</v>
      </c>
      <c r="D36" t="s">
        <v>123</v>
      </c>
      <c r="E36">
        <v>1.7823655367000899</v>
      </c>
      <c r="F36" t="s">
        <v>25</v>
      </c>
      <c r="G36">
        <v>9.7515396428701706</v>
      </c>
      <c r="H36">
        <f t="shared" si="0"/>
        <v>46</v>
      </c>
      <c r="I36">
        <v>8.8522714948918804</v>
      </c>
      <c r="J36">
        <f t="shared" si="1"/>
        <v>37</v>
      </c>
      <c r="K36">
        <v>9.9191714195287499</v>
      </c>
      <c r="L36">
        <f t="shared" si="2"/>
        <v>33</v>
      </c>
      <c r="M36">
        <v>8.5958773945732396</v>
      </c>
      <c r="N36">
        <f t="shared" si="3"/>
        <v>50</v>
      </c>
      <c r="O36">
        <v>41.5</v>
      </c>
      <c r="P36">
        <v>61.6666666666667</v>
      </c>
    </row>
    <row r="37" spans="1:16">
      <c r="A37" t="s">
        <v>124</v>
      </c>
      <c r="B37" t="s">
        <v>17</v>
      </c>
      <c r="C37" t="s">
        <v>125</v>
      </c>
      <c r="D37" t="s">
        <v>126</v>
      </c>
      <c r="E37">
        <v>1.0298476738914699E-2</v>
      </c>
      <c r="F37" t="s">
        <v>20</v>
      </c>
      <c r="G37">
        <v>12.290482303481101</v>
      </c>
      <c r="H37">
        <f t="shared" si="0"/>
        <v>40</v>
      </c>
      <c r="I37">
        <v>8.4955429817488302</v>
      </c>
      <c r="J37">
        <f t="shared" si="1"/>
        <v>38</v>
      </c>
      <c r="K37">
        <v>7.5267491301346698</v>
      </c>
      <c r="L37">
        <f t="shared" si="2"/>
        <v>52</v>
      </c>
      <c r="M37">
        <v>12.7214543105564</v>
      </c>
      <c r="N37">
        <f t="shared" si="3"/>
        <v>37</v>
      </c>
      <c r="O37">
        <v>41.75</v>
      </c>
      <c r="P37">
        <v>48.25</v>
      </c>
    </row>
    <row r="38" spans="1:16">
      <c r="A38" t="s">
        <v>127</v>
      </c>
      <c r="B38" t="s">
        <v>17</v>
      </c>
      <c r="C38" t="s">
        <v>128</v>
      </c>
      <c r="D38" t="s">
        <v>129</v>
      </c>
      <c r="E38">
        <v>0.82195441930644397</v>
      </c>
      <c r="F38" t="s">
        <v>25</v>
      </c>
      <c r="G38">
        <v>12.2646725739875</v>
      </c>
      <c r="H38">
        <f t="shared" si="0"/>
        <v>41</v>
      </c>
      <c r="I38">
        <v>8.9597143829446999</v>
      </c>
      <c r="J38">
        <f t="shared" si="1"/>
        <v>35</v>
      </c>
      <c r="K38">
        <v>6.05881261162898</v>
      </c>
      <c r="L38">
        <f t="shared" si="2"/>
        <v>68</v>
      </c>
      <c r="M38">
        <v>17.2664616606883</v>
      </c>
      <c r="N38">
        <f t="shared" si="3"/>
        <v>31</v>
      </c>
      <c r="O38">
        <v>43.75</v>
      </c>
      <c r="P38">
        <v>278.25</v>
      </c>
    </row>
    <row r="39" spans="1:16">
      <c r="A39" t="s">
        <v>130</v>
      </c>
      <c r="B39" t="s">
        <v>17</v>
      </c>
      <c r="C39" t="s">
        <v>131</v>
      </c>
      <c r="D39" t="s">
        <v>132</v>
      </c>
      <c r="E39">
        <v>0.102712078088999</v>
      </c>
      <c r="F39" t="s">
        <v>25</v>
      </c>
      <c r="G39">
        <v>6.9445460888730297</v>
      </c>
      <c r="H39">
        <f t="shared" si="0"/>
        <v>73</v>
      </c>
      <c r="I39">
        <v>15.336208394868301</v>
      </c>
      <c r="J39">
        <f t="shared" si="1"/>
        <v>29</v>
      </c>
      <c r="K39">
        <v>9.12252372183044</v>
      </c>
      <c r="L39">
        <f t="shared" si="2"/>
        <v>35</v>
      </c>
      <c r="M39">
        <v>11.413245345222901</v>
      </c>
      <c r="N39">
        <f t="shared" si="3"/>
        <v>41</v>
      </c>
      <c r="O39">
        <v>44.5</v>
      </c>
      <c r="P39">
        <v>385</v>
      </c>
    </row>
    <row r="40" spans="1:16">
      <c r="A40" t="s">
        <v>133</v>
      </c>
      <c r="B40" t="s">
        <v>17</v>
      </c>
      <c r="C40" t="s">
        <v>134</v>
      </c>
      <c r="D40" t="s">
        <v>135</v>
      </c>
      <c r="E40">
        <v>8.6800614474336402E-2</v>
      </c>
      <c r="F40" t="s">
        <v>25</v>
      </c>
      <c r="G40">
        <v>8.0725704653838299</v>
      </c>
      <c r="H40">
        <f t="shared" si="0"/>
        <v>56</v>
      </c>
      <c r="I40">
        <v>8.0723908427090407</v>
      </c>
      <c r="J40">
        <f t="shared" si="1"/>
        <v>41</v>
      </c>
      <c r="K40">
        <v>8.0740657566054406</v>
      </c>
      <c r="L40">
        <f t="shared" si="2"/>
        <v>39</v>
      </c>
      <c r="M40">
        <v>8.0689397172567805</v>
      </c>
      <c r="N40">
        <f t="shared" si="3"/>
        <v>51</v>
      </c>
      <c r="O40">
        <v>46.75</v>
      </c>
      <c r="P40">
        <v>65.5833333333333</v>
      </c>
    </row>
    <row r="41" spans="1:16">
      <c r="A41" t="s">
        <v>136</v>
      </c>
      <c r="B41" t="s">
        <v>17</v>
      </c>
      <c r="C41" t="s">
        <v>137</v>
      </c>
      <c r="D41" t="s">
        <v>137</v>
      </c>
      <c r="E41">
        <v>0.66253981175166798</v>
      </c>
      <c r="F41" t="s">
        <v>25</v>
      </c>
      <c r="G41">
        <v>8.0725704653838299</v>
      </c>
      <c r="H41">
        <f t="shared" si="0"/>
        <v>56</v>
      </c>
      <c r="I41">
        <v>8.0723908427090407</v>
      </c>
      <c r="J41">
        <f t="shared" si="1"/>
        <v>41</v>
      </c>
      <c r="K41">
        <v>8.0740657566054406</v>
      </c>
      <c r="L41">
        <f t="shared" si="2"/>
        <v>39</v>
      </c>
      <c r="M41">
        <v>8.0689397172567805</v>
      </c>
      <c r="N41">
        <f t="shared" si="3"/>
        <v>51</v>
      </c>
      <c r="O41">
        <v>47.75</v>
      </c>
      <c r="P41">
        <v>65.5833333333333</v>
      </c>
    </row>
    <row r="42" spans="1:16">
      <c r="A42" t="s">
        <v>138</v>
      </c>
      <c r="B42" t="s">
        <v>17</v>
      </c>
      <c r="C42" t="s">
        <v>139</v>
      </c>
      <c r="D42" t="s">
        <v>139</v>
      </c>
      <c r="E42">
        <v>0.50586294823574895</v>
      </c>
      <c r="F42" t="s">
        <v>25</v>
      </c>
      <c r="G42">
        <v>8.0725704653838299</v>
      </c>
      <c r="H42">
        <f t="shared" si="0"/>
        <v>56</v>
      </c>
      <c r="I42">
        <v>8.0723908427090407</v>
      </c>
      <c r="J42">
        <f t="shared" si="1"/>
        <v>41</v>
      </c>
      <c r="K42">
        <v>8.0740657566054406</v>
      </c>
      <c r="L42">
        <f t="shared" si="2"/>
        <v>39</v>
      </c>
      <c r="M42">
        <v>8.0689397172567805</v>
      </c>
      <c r="N42">
        <f t="shared" si="3"/>
        <v>51</v>
      </c>
      <c r="O42">
        <v>48.75</v>
      </c>
      <c r="P42">
        <v>65.5833333333333</v>
      </c>
    </row>
    <row r="43" spans="1:16">
      <c r="A43" t="s">
        <v>140</v>
      </c>
      <c r="B43" t="s">
        <v>93</v>
      </c>
      <c r="C43" t="s">
        <v>141</v>
      </c>
      <c r="D43" t="s">
        <v>141</v>
      </c>
      <c r="E43">
        <v>0.39537281802475399</v>
      </c>
      <c r="F43" t="s">
        <v>20</v>
      </c>
      <c r="G43">
        <v>13.0870881191869</v>
      </c>
      <c r="H43">
        <f t="shared" si="0"/>
        <v>38</v>
      </c>
      <c r="I43">
        <v>7.82552587033741</v>
      </c>
      <c r="J43">
        <f t="shared" si="1"/>
        <v>52</v>
      </c>
      <c r="K43">
        <v>9.9117228169707996</v>
      </c>
      <c r="L43">
        <f t="shared" si="2"/>
        <v>34</v>
      </c>
      <c r="M43">
        <v>7.6569122480385499</v>
      </c>
      <c r="N43">
        <f t="shared" si="3"/>
        <v>72</v>
      </c>
      <c r="O43">
        <v>49</v>
      </c>
      <c r="P43">
        <v>294.66666666666703</v>
      </c>
    </row>
    <row r="44" spans="1:16">
      <c r="A44" t="s">
        <v>142</v>
      </c>
      <c r="B44" t="s">
        <v>17</v>
      </c>
      <c r="C44" t="s">
        <v>143</v>
      </c>
      <c r="D44" t="s">
        <v>144</v>
      </c>
      <c r="E44">
        <v>0.30024906468594897</v>
      </c>
      <c r="F44" t="s">
        <v>25</v>
      </c>
      <c r="G44">
        <v>8.0725704653838299</v>
      </c>
      <c r="H44">
        <f t="shared" si="0"/>
        <v>56</v>
      </c>
      <c r="I44">
        <v>8.0723908427090407</v>
      </c>
      <c r="J44">
        <f t="shared" si="1"/>
        <v>41</v>
      </c>
      <c r="K44">
        <v>8.0740657566054406</v>
      </c>
      <c r="L44">
        <f t="shared" si="2"/>
        <v>39</v>
      </c>
      <c r="M44">
        <v>8.0689397172567805</v>
      </c>
      <c r="N44">
        <f t="shared" si="3"/>
        <v>51</v>
      </c>
      <c r="O44">
        <v>49.75</v>
      </c>
      <c r="P44">
        <v>65.5833333333333</v>
      </c>
    </row>
    <row r="45" spans="1:16">
      <c r="A45" t="s">
        <v>145</v>
      </c>
      <c r="B45" t="s">
        <v>17</v>
      </c>
      <c r="C45" t="s">
        <v>146</v>
      </c>
      <c r="D45" t="s">
        <v>147</v>
      </c>
      <c r="E45">
        <v>0.53256532798485401</v>
      </c>
      <c r="F45" t="s">
        <v>20</v>
      </c>
      <c r="G45">
        <v>8.0725643438002095</v>
      </c>
      <c r="H45">
        <f t="shared" si="0"/>
        <v>64</v>
      </c>
      <c r="I45">
        <v>8.0723864072893097</v>
      </c>
      <c r="J45">
        <f t="shared" si="1"/>
        <v>49</v>
      </c>
      <c r="K45">
        <v>8.0740622285565102</v>
      </c>
      <c r="L45">
        <f t="shared" si="2"/>
        <v>47</v>
      </c>
      <c r="M45">
        <v>12.068931240794299</v>
      </c>
      <c r="N45">
        <f t="shared" si="3"/>
        <v>40</v>
      </c>
      <c r="O45">
        <v>50</v>
      </c>
      <c r="P45">
        <v>102</v>
      </c>
    </row>
    <row r="46" spans="1:16">
      <c r="A46" t="s">
        <v>148</v>
      </c>
      <c r="B46" t="s">
        <v>17</v>
      </c>
      <c r="C46" t="s">
        <v>149</v>
      </c>
      <c r="D46" t="s">
        <v>149</v>
      </c>
      <c r="E46">
        <v>2.07006660801905</v>
      </c>
      <c r="F46" t="s">
        <v>25</v>
      </c>
      <c r="G46">
        <v>8.0725704653838299</v>
      </c>
      <c r="H46">
        <f t="shared" si="0"/>
        <v>56</v>
      </c>
      <c r="I46">
        <v>8.0723908427090407</v>
      </c>
      <c r="J46">
        <f t="shared" si="1"/>
        <v>41</v>
      </c>
      <c r="K46">
        <v>8.0740657566054406</v>
      </c>
      <c r="L46">
        <f t="shared" si="2"/>
        <v>39</v>
      </c>
      <c r="M46">
        <v>8.0689397172567805</v>
      </c>
      <c r="N46">
        <f t="shared" si="3"/>
        <v>51</v>
      </c>
      <c r="O46">
        <v>50.75</v>
      </c>
      <c r="P46">
        <v>65.5833333333333</v>
      </c>
    </row>
    <row r="47" spans="1:16">
      <c r="A47" t="s">
        <v>150</v>
      </c>
      <c r="B47" t="s">
        <v>17</v>
      </c>
      <c r="C47" t="s">
        <v>151</v>
      </c>
      <c r="D47" t="s">
        <v>152</v>
      </c>
      <c r="E47">
        <v>9.5893986086053901E-2</v>
      </c>
      <c r="F47" t="s">
        <v>25</v>
      </c>
      <c r="G47">
        <v>8.0725704653838299</v>
      </c>
      <c r="H47">
        <f t="shared" si="0"/>
        <v>56</v>
      </c>
      <c r="I47">
        <v>8.0723908427090407</v>
      </c>
      <c r="J47">
        <f t="shared" si="1"/>
        <v>41</v>
      </c>
      <c r="K47">
        <v>8.0740657566054406</v>
      </c>
      <c r="L47">
        <f t="shared" si="2"/>
        <v>39</v>
      </c>
      <c r="M47">
        <v>8.0689397172567805</v>
      </c>
      <c r="N47">
        <f t="shared" si="3"/>
        <v>51</v>
      </c>
      <c r="O47">
        <v>51.75</v>
      </c>
      <c r="P47">
        <v>65.5833333333333</v>
      </c>
    </row>
    <row r="48" spans="1:16">
      <c r="A48" t="s">
        <v>153</v>
      </c>
      <c r="B48" t="s">
        <v>17</v>
      </c>
      <c r="C48" t="s">
        <v>154</v>
      </c>
      <c r="D48" t="s">
        <v>154</v>
      </c>
      <c r="E48">
        <v>1.61545353003431</v>
      </c>
      <c r="F48" t="s">
        <v>25</v>
      </c>
      <c r="G48">
        <v>8.0725704653838299</v>
      </c>
      <c r="H48">
        <f t="shared" si="0"/>
        <v>56</v>
      </c>
      <c r="I48">
        <v>8.0723908427090407</v>
      </c>
      <c r="J48">
        <f t="shared" si="1"/>
        <v>41</v>
      </c>
      <c r="K48">
        <v>8.0740657566054406</v>
      </c>
      <c r="L48">
        <f t="shared" si="2"/>
        <v>39</v>
      </c>
      <c r="M48">
        <v>8.0689397172567805</v>
      </c>
      <c r="N48">
        <f t="shared" si="3"/>
        <v>51</v>
      </c>
      <c r="O48">
        <v>52.75</v>
      </c>
      <c r="P48">
        <v>65.5833333333333</v>
      </c>
    </row>
    <row r="49" spans="1:16">
      <c r="A49" t="s">
        <v>155</v>
      </c>
      <c r="B49" t="s">
        <v>17</v>
      </c>
      <c r="C49" t="s">
        <v>156</v>
      </c>
      <c r="D49" t="s">
        <v>157</v>
      </c>
      <c r="E49">
        <v>0.168838994394478</v>
      </c>
      <c r="F49" t="s">
        <v>25</v>
      </c>
      <c r="G49">
        <v>9.7126168352607998</v>
      </c>
      <c r="H49">
        <f t="shared" si="0"/>
        <v>47</v>
      </c>
      <c r="I49">
        <v>6.4966272235545404</v>
      </c>
      <c r="J49">
        <f t="shared" si="1"/>
        <v>60</v>
      </c>
      <c r="K49">
        <v>5.2750348470438002</v>
      </c>
      <c r="L49">
        <f t="shared" si="2"/>
        <v>69</v>
      </c>
      <c r="M49">
        <v>12.7344622480373</v>
      </c>
      <c r="N49">
        <f t="shared" si="3"/>
        <v>36</v>
      </c>
      <c r="O49">
        <v>53</v>
      </c>
      <c r="P49">
        <v>210</v>
      </c>
    </row>
    <row r="50" spans="1:16">
      <c r="A50" t="s">
        <v>158</v>
      </c>
      <c r="B50" t="s">
        <v>17</v>
      </c>
      <c r="C50" t="s">
        <v>159</v>
      </c>
      <c r="D50" t="s">
        <v>159</v>
      </c>
      <c r="E50">
        <v>0.38357594443791498</v>
      </c>
      <c r="F50" t="s">
        <v>25</v>
      </c>
      <c r="G50">
        <v>8.0725704653838299</v>
      </c>
      <c r="H50">
        <f t="shared" si="0"/>
        <v>56</v>
      </c>
      <c r="I50">
        <v>8.0723908427090407</v>
      </c>
      <c r="J50">
        <f t="shared" si="1"/>
        <v>41</v>
      </c>
      <c r="K50">
        <v>8.0740657566054406</v>
      </c>
      <c r="L50">
        <f t="shared" si="2"/>
        <v>39</v>
      </c>
      <c r="M50">
        <v>8.0689397172567805</v>
      </c>
      <c r="N50">
        <f t="shared" si="3"/>
        <v>51</v>
      </c>
      <c r="O50">
        <v>53.75</v>
      </c>
      <c r="P50">
        <v>65.5833333333333</v>
      </c>
    </row>
    <row r="51" spans="1:16">
      <c r="A51" t="s">
        <v>160</v>
      </c>
      <c r="B51" t="s">
        <v>93</v>
      </c>
      <c r="C51" t="s">
        <v>161</v>
      </c>
      <c r="D51" t="s">
        <v>162</v>
      </c>
      <c r="E51">
        <v>6.19726544206484E-3</v>
      </c>
      <c r="F51" t="s">
        <v>25</v>
      </c>
      <c r="G51">
        <v>9.6884502055591195</v>
      </c>
      <c r="H51">
        <f t="shared" si="0"/>
        <v>48</v>
      </c>
      <c r="I51">
        <v>6.4791171700593502</v>
      </c>
      <c r="J51">
        <f t="shared" si="1"/>
        <v>61</v>
      </c>
      <c r="K51">
        <v>5.2611068767436997</v>
      </c>
      <c r="L51">
        <f t="shared" si="2"/>
        <v>70</v>
      </c>
      <c r="M51">
        <v>12.7009980213092</v>
      </c>
      <c r="N51">
        <f t="shared" si="3"/>
        <v>38</v>
      </c>
      <c r="O51">
        <v>54.25</v>
      </c>
      <c r="P51">
        <v>198.916666666667</v>
      </c>
    </row>
    <row r="52" spans="1:16">
      <c r="A52" t="s">
        <v>163</v>
      </c>
      <c r="B52" t="s">
        <v>17</v>
      </c>
      <c r="C52" t="s">
        <v>164</v>
      </c>
      <c r="D52" t="s">
        <v>165</v>
      </c>
      <c r="E52">
        <v>5.70811374106286</v>
      </c>
      <c r="F52" t="s">
        <v>48</v>
      </c>
      <c r="G52">
        <v>13.4552378220537</v>
      </c>
      <c r="H52">
        <f t="shared" si="0"/>
        <v>33</v>
      </c>
      <c r="I52">
        <v>6.5797249146362198</v>
      </c>
      <c r="J52">
        <f t="shared" si="1"/>
        <v>55</v>
      </c>
      <c r="K52">
        <v>7.36923729353403</v>
      </c>
      <c r="L52">
        <f t="shared" si="2"/>
        <v>55</v>
      </c>
      <c r="M52">
        <v>7.0816053356177102</v>
      </c>
      <c r="N52">
        <f t="shared" si="3"/>
        <v>75</v>
      </c>
      <c r="O52">
        <v>54.5</v>
      </c>
      <c r="P52">
        <v>294.33333333333297</v>
      </c>
    </row>
    <row r="53" spans="1:16">
      <c r="A53" t="s">
        <v>166</v>
      </c>
      <c r="B53" t="s">
        <v>17</v>
      </c>
      <c r="C53" t="s">
        <v>167</v>
      </c>
      <c r="D53" t="s">
        <v>168</v>
      </c>
      <c r="E53">
        <v>1.2645082976144399</v>
      </c>
      <c r="F53" t="s">
        <v>25</v>
      </c>
      <c r="G53">
        <v>7.7586337808508201</v>
      </c>
      <c r="H53">
        <f t="shared" si="0"/>
        <v>70</v>
      </c>
      <c r="I53">
        <v>6.85031051528461</v>
      </c>
      <c r="J53">
        <f t="shared" si="1"/>
        <v>54</v>
      </c>
      <c r="K53">
        <v>7.7070568668145398</v>
      </c>
      <c r="L53">
        <f t="shared" si="2"/>
        <v>50</v>
      </c>
      <c r="M53">
        <v>9.9178170870893094</v>
      </c>
      <c r="N53">
        <f t="shared" si="3"/>
        <v>46</v>
      </c>
      <c r="O53">
        <v>55</v>
      </c>
      <c r="P53">
        <v>110.666666666667</v>
      </c>
    </row>
    <row r="54" spans="1:16">
      <c r="A54" t="s">
        <v>169</v>
      </c>
      <c r="B54" t="s">
        <v>17</v>
      </c>
      <c r="C54" t="s">
        <v>170</v>
      </c>
      <c r="D54" t="s">
        <v>170</v>
      </c>
      <c r="E54">
        <v>9.1403451315539605E-2</v>
      </c>
      <c r="F54" t="s">
        <v>48</v>
      </c>
      <c r="G54">
        <v>13.4552378220537</v>
      </c>
      <c r="H54">
        <f t="shared" si="0"/>
        <v>33</v>
      </c>
      <c r="I54">
        <v>6.5797249146362198</v>
      </c>
      <c r="J54">
        <f t="shared" si="1"/>
        <v>55</v>
      </c>
      <c r="K54">
        <v>7.36923729353403</v>
      </c>
      <c r="L54">
        <f t="shared" si="2"/>
        <v>55</v>
      </c>
      <c r="M54">
        <v>7.0816053356177102</v>
      </c>
      <c r="N54">
        <f t="shared" si="3"/>
        <v>75</v>
      </c>
      <c r="O54">
        <v>55.5</v>
      </c>
      <c r="P54">
        <v>294.33333333333297</v>
      </c>
    </row>
    <row r="55" spans="1:16">
      <c r="A55" t="s">
        <v>171</v>
      </c>
      <c r="B55" t="s">
        <v>17</v>
      </c>
      <c r="C55" t="s">
        <v>172</v>
      </c>
      <c r="D55" t="s">
        <v>173</v>
      </c>
      <c r="E55">
        <v>0.27413019140920503</v>
      </c>
      <c r="F55" t="s">
        <v>25</v>
      </c>
      <c r="G55">
        <v>8.0725642517621097</v>
      </c>
      <c r="H55">
        <f t="shared" si="0"/>
        <v>65</v>
      </c>
      <c r="I55">
        <v>8.0723863414216392</v>
      </c>
      <c r="J55">
        <f t="shared" si="1"/>
        <v>50</v>
      </c>
      <c r="K55">
        <v>8.0740622028812705</v>
      </c>
      <c r="L55">
        <f t="shared" si="2"/>
        <v>48</v>
      </c>
      <c r="M55">
        <v>8.0689311505816104</v>
      </c>
      <c r="N55">
        <f t="shared" si="3"/>
        <v>59</v>
      </c>
      <c r="O55">
        <v>55.5</v>
      </c>
      <c r="P55">
        <v>63</v>
      </c>
    </row>
    <row r="56" spans="1:16">
      <c r="A56" t="s">
        <v>174</v>
      </c>
      <c r="B56" t="s">
        <v>17</v>
      </c>
      <c r="C56" t="s">
        <v>175</v>
      </c>
      <c r="D56" t="s">
        <v>176</v>
      </c>
      <c r="E56">
        <v>0.117135770427724</v>
      </c>
      <c r="F56" t="s">
        <v>48</v>
      </c>
      <c r="G56">
        <v>13.4552378220537</v>
      </c>
      <c r="H56">
        <f t="shared" si="0"/>
        <v>33</v>
      </c>
      <c r="I56">
        <v>6.5797249146362198</v>
      </c>
      <c r="J56">
        <f t="shared" si="1"/>
        <v>55</v>
      </c>
      <c r="K56">
        <v>7.36923729353403</v>
      </c>
      <c r="L56">
        <f t="shared" si="2"/>
        <v>55</v>
      </c>
      <c r="M56">
        <v>7.0816053356177102</v>
      </c>
      <c r="N56">
        <f t="shared" si="3"/>
        <v>75</v>
      </c>
      <c r="O56">
        <v>56.5</v>
      </c>
      <c r="P56">
        <v>294.33333333333297</v>
      </c>
    </row>
    <row r="57" spans="1:16">
      <c r="A57" t="s">
        <v>177</v>
      </c>
      <c r="B57" t="s">
        <v>17</v>
      </c>
      <c r="C57" t="s">
        <v>178</v>
      </c>
      <c r="D57" t="s">
        <v>178</v>
      </c>
      <c r="E57">
        <v>4.4908841911909301</v>
      </c>
      <c r="F57" t="s">
        <v>179</v>
      </c>
      <c r="G57">
        <v>13.4552378220537</v>
      </c>
      <c r="H57">
        <f t="shared" si="0"/>
        <v>33</v>
      </c>
      <c r="I57">
        <v>6.5797249146362198</v>
      </c>
      <c r="J57">
        <f t="shared" si="1"/>
        <v>55</v>
      </c>
      <c r="K57">
        <v>7.36923729353403</v>
      </c>
      <c r="L57">
        <f t="shared" si="2"/>
        <v>55</v>
      </c>
      <c r="M57">
        <v>7.0816053356177102</v>
      </c>
      <c r="N57">
        <f t="shared" si="3"/>
        <v>75</v>
      </c>
      <c r="O57">
        <v>57.5</v>
      </c>
      <c r="P57">
        <v>294.33333333333297</v>
      </c>
    </row>
    <row r="58" spans="1:16">
      <c r="A58" t="s">
        <v>180</v>
      </c>
      <c r="B58" t="s">
        <v>30</v>
      </c>
      <c r="C58" t="s">
        <v>181</v>
      </c>
      <c r="D58" t="s">
        <v>182</v>
      </c>
      <c r="E58">
        <v>2.4193515430487098</v>
      </c>
      <c r="F58" t="s">
        <v>25</v>
      </c>
      <c r="G58">
        <v>8.0000091823753703</v>
      </c>
      <c r="H58">
        <f t="shared" si="0"/>
        <v>69</v>
      </c>
      <c r="I58">
        <v>7.9610629652902398</v>
      </c>
      <c r="J58">
        <f t="shared" si="1"/>
        <v>51</v>
      </c>
      <c r="K58">
        <v>7.9855916856388003</v>
      </c>
      <c r="L58">
        <f t="shared" si="2"/>
        <v>49</v>
      </c>
      <c r="M58">
        <v>8.0000127598001995</v>
      </c>
      <c r="N58">
        <f t="shared" si="3"/>
        <v>63</v>
      </c>
      <c r="O58">
        <v>58</v>
      </c>
      <c r="P58">
        <v>92</v>
      </c>
    </row>
    <row r="59" spans="1:16">
      <c r="A59" t="s">
        <v>183</v>
      </c>
      <c r="B59" t="s">
        <v>17</v>
      </c>
      <c r="C59" t="s">
        <v>184</v>
      </c>
      <c r="D59" t="s">
        <v>185</v>
      </c>
      <c r="E59">
        <v>4.26298195966368</v>
      </c>
      <c r="F59" t="s">
        <v>179</v>
      </c>
      <c r="G59">
        <v>13.4552378220537</v>
      </c>
      <c r="H59">
        <f t="shared" si="0"/>
        <v>33</v>
      </c>
      <c r="I59">
        <v>6.5797249146362198</v>
      </c>
      <c r="J59">
        <f t="shared" si="1"/>
        <v>55</v>
      </c>
      <c r="K59">
        <v>7.36923729353403</v>
      </c>
      <c r="L59">
        <f t="shared" si="2"/>
        <v>55</v>
      </c>
      <c r="M59">
        <v>7.0816053356177102</v>
      </c>
      <c r="N59">
        <f t="shared" si="3"/>
        <v>75</v>
      </c>
      <c r="O59">
        <v>58.5</v>
      </c>
      <c r="P59">
        <v>294.33333333333297</v>
      </c>
    </row>
    <row r="60" spans="1:16">
      <c r="A60" t="s">
        <v>186</v>
      </c>
      <c r="B60" t="s">
        <v>17</v>
      </c>
      <c r="C60" t="s">
        <v>187</v>
      </c>
      <c r="D60" t="s">
        <v>188</v>
      </c>
      <c r="E60">
        <v>1.3090864691122899E-2</v>
      </c>
      <c r="F60" t="s">
        <v>48</v>
      </c>
      <c r="G60">
        <v>8.2856399310783395</v>
      </c>
      <c r="H60">
        <f t="shared" si="0"/>
        <v>54</v>
      </c>
      <c r="I60">
        <v>5.6559363863663599</v>
      </c>
      <c r="J60">
        <f t="shared" si="1"/>
        <v>62</v>
      </c>
      <c r="K60">
        <v>5.2571320851303698</v>
      </c>
      <c r="L60">
        <f t="shared" si="2"/>
        <v>71</v>
      </c>
      <c r="M60">
        <v>9.4826687557757303</v>
      </c>
      <c r="N60">
        <f t="shared" si="3"/>
        <v>48</v>
      </c>
      <c r="O60">
        <v>59</v>
      </c>
      <c r="P60">
        <v>108</v>
      </c>
    </row>
    <row r="61" spans="1:16">
      <c r="A61" t="s">
        <v>189</v>
      </c>
      <c r="B61" t="s">
        <v>17</v>
      </c>
      <c r="C61" t="s">
        <v>190</v>
      </c>
      <c r="D61" t="s">
        <v>191</v>
      </c>
      <c r="E61">
        <v>0.341946314684968</v>
      </c>
      <c r="F61" t="s">
        <v>20</v>
      </c>
      <c r="G61">
        <v>8.2856399310783395</v>
      </c>
      <c r="H61">
        <f t="shared" si="0"/>
        <v>54</v>
      </c>
      <c r="I61">
        <v>5.6559363863663599</v>
      </c>
      <c r="J61">
        <f t="shared" si="1"/>
        <v>62</v>
      </c>
      <c r="K61">
        <v>5.2571320851303698</v>
      </c>
      <c r="L61">
        <f t="shared" si="2"/>
        <v>71</v>
      </c>
      <c r="M61">
        <v>9.4826687557757303</v>
      </c>
      <c r="N61">
        <f t="shared" si="3"/>
        <v>48</v>
      </c>
      <c r="O61">
        <v>59.5</v>
      </c>
      <c r="P61">
        <v>91.6666666666667</v>
      </c>
    </row>
    <row r="62" spans="1:16">
      <c r="A62" t="s">
        <v>192</v>
      </c>
      <c r="B62" t="s">
        <v>17</v>
      </c>
      <c r="C62" t="s">
        <v>193</v>
      </c>
      <c r="D62" t="s">
        <v>194</v>
      </c>
      <c r="E62">
        <v>1.7986739150072799</v>
      </c>
      <c r="F62" t="s">
        <v>20</v>
      </c>
      <c r="G62">
        <v>8.7617499971215</v>
      </c>
      <c r="H62">
        <f t="shared" si="0"/>
        <v>50</v>
      </c>
      <c r="I62">
        <v>7.2098091434234099</v>
      </c>
      <c r="J62">
        <f t="shared" si="1"/>
        <v>53</v>
      </c>
      <c r="K62">
        <v>5.0132834942128399</v>
      </c>
      <c r="L62">
        <f t="shared" si="2"/>
        <v>73</v>
      </c>
      <c r="M62">
        <v>6.71512832360715</v>
      </c>
      <c r="N62">
        <f t="shared" si="3"/>
        <v>80</v>
      </c>
      <c r="O62">
        <v>64</v>
      </c>
      <c r="P62">
        <v>218</v>
      </c>
    </row>
    <row r="63" spans="1:16">
      <c r="A63" t="s">
        <v>195</v>
      </c>
      <c r="B63" t="s">
        <v>17</v>
      </c>
      <c r="C63" t="s">
        <v>196</v>
      </c>
      <c r="D63" t="s">
        <v>196</v>
      </c>
      <c r="E63">
        <v>0.19033201582371501</v>
      </c>
      <c r="F63" t="s">
        <v>20</v>
      </c>
      <c r="G63">
        <v>8.0483332594033499</v>
      </c>
      <c r="H63">
        <f t="shared" si="0"/>
        <v>66</v>
      </c>
      <c r="I63">
        <v>4.0155482630707304</v>
      </c>
      <c r="J63">
        <f t="shared" si="1"/>
        <v>80</v>
      </c>
      <c r="K63">
        <v>7.4988931895344697</v>
      </c>
      <c r="L63">
        <f t="shared" si="2"/>
        <v>53</v>
      </c>
      <c r="M63">
        <v>8.06692845345626</v>
      </c>
      <c r="N63">
        <f t="shared" si="3"/>
        <v>60</v>
      </c>
      <c r="O63">
        <v>64.75</v>
      </c>
      <c r="P63">
        <v>131.583333333333</v>
      </c>
    </row>
    <row r="64" spans="1:16">
      <c r="A64" t="s">
        <v>197</v>
      </c>
      <c r="B64" t="s">
        <v>17</v>
      </c>
      <c r="C64" t="s">
        <v>198</v>
      </c>
      <c r="D64" t="s">
        <v>198</v>
      </c>
      <c r="E64">
        <v>0.33514446290300598</v>
      </c>
      <c r="F64" t="s">
        <v>20</v>
      </c>
      <c r="G64">
        <v>8.0483332594033499</v>
      </c>
      <c r="H64">
        <f t="shared" si="0"/>
        <v>66</v>
      </c>
      <c r="I64">
        <v>4.0155482630707304</v>
      </c>
      <c r="J64">
        <f t="shared" si="1"/>
        <v>80</v>
      </c>
      <c r="K64">
        <v>7.4988931895344697</v>
      </c>
      <c r="L64">
        <f t="shared" si="2"/>
        <v>53</v>
      </c>
      <c r="M64">
        <v>8.06692845345626</v>
      </c>
      <c r="N64">
        <f t="shared" si="3"/>
        <v>60</v>
      </c>
      <c r="O64">
        <v>65.75</v>
      </c>
      <c r="P64">
        <v>131.583333333333</v>
      </c>
    </row>
    <row r="65" spans="1:16">
      <c r="A65" t="s">
        <v>199</v>
      </c>
      <c r="B65" t="s">
        <v>93</v>
      </c>
      <c r="C65" t="s">
        <v>200</v>
      </c>
      <c r="D65" t="s">
        <v>200</v>
      </c>
      <c r="E65">
        <v>0.45888876959080399</v>
      </c>
      <c r="F65" t="s">
        <v>48</v>
      </c>
      <c r="G65">
        <v>4.0762222697248998</v>
      </c>
      <c r="H65">
        <f t="shared" si="0"/>
        <v>83</v>
      </c>
      <c r="I65">
        <v>5.5298596878277104</v>
      </c>
      <c r="J65">
        <f t="shared" si="1"/>
        <v>64</v>
      </c>
      <c r="K65">
        <v>6.09908757161402</v>
      </c>
      <c r="L65">
        <f t="shared" si="2"/>
        <v>60</v>
      </c>
      <c r="M65">
        <v>7.8691036431813197</v>
      </c>
      <c r="N65">
        <f t="shared" si="3"/>
        <v>64</v>
      </c>
      <c r="O65">
        <v>67.75</v>
      </c>
      <c r="P65">
        <v>106.916666666667</v>
      </c>
    </row>
    <row r="66" spans="1:16">
      <c r="A66" t="s">
        <v>201</v>
      </c>
      <c r="B66" t="s">
        <v>17</v>
      </c>
      <c r="C66" t="s">
        <v>202</v>
      </c>
      <c r="D66" t="s">
        <v>203</v>
      </c>
      <c r="E66">
        <v>0.20899874739718999</v>
      </c>
      <c r="F66" t="s">
        <v>25</v>
      </c>
      <c r="G66">
        <v>16.8672387806625</v>
      </c>
      <c r="H66">
        <f t="shared" si="0"/>
        <v>29</v>
      </c>
      <c r="I66">
        <v>8.1354413368020495</v>
      </c>
      <c r="J66">
        <f t="shared" si="1"/>
        <v>39</v>
      </c>
      <c r="K66">
        <v>0.65284365540016398</v>
      </c>
      <c r="L66">
        <f t="shared" si="2"/>
        <v>171</v>
      </c>
      <c r="M66">
        <v>16.4314829674945</v>
      </c>
      <c r="N66">
        <f t="shared" si="3"/>
        <v>32</v>
      </c>
      <c r="O66">
        <v>67.75</v>
      </c>
      <c r="P66">
        <v>4755.5833333333303</v>
      </c>
    </row>
    <row r="67" spans="1:16">
      <c r="A67" t="s">
        <v>204</v>
      </c>
      <c r="B67" t="s">
        <v>93</v>
      </c>
      <c r="C67" t="s">
        <v>205</v>
      </c>
      <c r="D67" t="s">
        <v>205</v>
      </c>
      <c r="E67">
        <v>0.41468351435351097</v>
      </c>
      <c r="F67" t="s">
        <v>48</v>
      </c>
      <c r="G67">
        <v>4.0762222697248998</v>
      </c>
      <c r="H67">
        <f t="shared" ref="H67:H130" si="4">_xlfn.RANK.EQ(G67,G$2:G$263)</f>
        <v>83</v>
      </c>
      <c r="I67">
        <v>5.5298596878277104</v>
      </c>
      <c r="J67">
        <f t="shared" ref="J67:J130" si="5">_xlfn.RANK.EQ(I67,I$2:I$263)</f>
        <v>64</v>
      </c>
      <c r="K67">
        <v>6.09908757161402</v>
      </c>
      <c r="L67">
        <f t="shared" ref="L67:L130" si="6">_xlfn.RANK.EQ(K67,K$2:K$263)</f>
        <v>60</v>
      </c>
      <c r="M67">
        <v>7.8691036431813197</v>
      </c>
      <c r="N67">
        <f t="shared" ref="N67:N130" si="7">_xlfn.RANK.EQ(M67,M$2:M$263)</f>
        <v>64</v>
      </c>
      <c r="O67">
        <v>68.75</v>
      </c>
      <c r="P67">
        <v>106.916666666667</v>
      </c>
    </row>
    <row r="68" spans="1:16">
      <c r="A68" t="s">
        <v>206</v>
      </c>
      <c r="B68" t="s">
        <v>17</v>
      </c>
      <c r="C68" t="s">
        <v>207</v>
      </c>
      <c r="D68" t="s">
        <v>208</v>
      </c>
      <c r="E68">
        <v>0.42046972648033698</v>
      </c>
      <c r="F68" t="s">
        <v>20</v>
      </c>
      <c r="G68">
        <v>16.8672387806625</v>
      </c>
      <c r="H68">
        <f t="shared" si="4"/>
        <v>29</v>
      </c>
      <c r="I68">
        <v>8.1354413368020495</v>
      </c>
      <c r="J68">
        <f t="shared" si="5"/>
        <v>39</v>
      </c>
      <c r="K68">
        <v>0.65284365540016398</v>
      </c>
      <c r="L68">
        <f t="shared" si="6"/>
        <v>171</v>
      </c>
      <c r="M68">
        <v>16.4314829674945</v>
      </c>
      <c r="N68">
        <f t="shared" si="7"/>
        <v>32</v>
      </c>
      <c r="O68">
        <v>68.75</v>
      </c>
      <c r="P68">
        <v>4755.5833333333303</v>
      </c>
    </row>
    <row r="69" spans="1:16">
      <c r="A69" t="s">
        <v>209</v>
      </c>
      <c r="B69" t="s">
        <v>93</v>
      </c>
      <c r="C69" t="s">
        <v>210</v>
      </c>
      <c r="D69" t="s">
        <v>210</v>
      </c>
      <c r="E69">
        <v>3.2418781867200701E-2</v>
      </c>
      <c r="F69" t="s">
        <v>48</v>
      </c>
      <c r="G69">
        <v>4.0762222697248998</v>
      </c>
      <c r="H69">
        <f t="shared" si="4"/>
        <v>83</v>
      </c>
      <c r="I69">
        <v>5.5298596878277104</v>
      </c>
      <c r="J69">
        <f t="shared" si="5"/>
        <v>64</v>
      </c>
      <c r="K69">
        <v>6.09908757161402</v>
      </c>
      <c r="L69">
        <f t="shared" si="6"/>
        <v>60</v>
      </c>
      <c r="M69">
        <v>7.8691036431813197</v>
      </c>
      <c r="N69">
        <f t="shared" si="7"/>
        <v>64</v>
      </c>
      <c r="O69">
        <v>69.75</v>
      </c>
      <c r="P69">
        <v>106.916666666667</v>
      </c>
    </row>
    <row r="70" spans="1:16">
      <c r="A70" t="s">
        <v>211</v>
      </c>
      <c r="B70" t="s">
        <v>93</v>
      </c>
      <c r="C70" t="s">
        <v>212</v>
      </c>
      <c r="D70" t="s">
        <v>212</v>
      </c>
      <c r="E70">
        <v>0.29185847616404997</v>
      </c>
      <c r="F70" t="s">
        <v>48</v>
      </c>
      <c r="G70">
        <v>4.0762222697248998</v>
      </c>
      <c r="H70">
        <f t="shared" si="4"/>
        <v>83</v>
      </c>
      <c r="I70">
        <v>5.5298596878277104</v>
      </c>
      <c r="J70">
        <f t="shared" si="5"/>
        <v>64</v>
      </c>
      <c r="K70">
        <v>6.09908757161402</v>
      </c>
      <c r="L70">
        <f t="shared" si="6"/>
        <v>60</v>
      </c>
      <c r="M70">
        <v>7.8691036431813197</v>
      </c>
      <c r="N70">
        <f t="shared" si="7"/>
        <v>64</v>
      </c>
      <c r="O70">
        <v>70.75</v>
      </c>
      <c r="P70">
        <v>106.916666666667</v>
      </c>
    </row>
    <row r="71" spans="1:16">
      <c r="A71" t="s">
        <v>213</v>
      </c>
      <c r="B71" t="s">
        <v>93</v>
      </c>
      <c r="C71" t="s">
        <v>214</v>
      </c>
      <c r="D71" t="s">
        <v>214</v>
      </c>
      <c r="E71">
        <v>0.45066978161349702</v>
      </c>
      <c r="F71" t="s">
        <v>48</v>
      </c>
      <c r="G71">
        <v>4.0762222697248998</v>
      </c>
      <c r="H71">
        <f t="shared" si="4"/>
        <v>83</v>
      </c>
      <c r="I71">
        <v>5.5298596878277104</v>
      </c>
      <c r="J71">
        <f t="shared" si="5"/>
        <v>64</v>
      </c>
      <c r="K71">
        <v>6.09908757161402</v>
      </c>
      <c r="L71">
        <f t="shared" si="6"/>
        <v>60</v>
      </c>
      <c r="M71">
        <v>7.8691036431813197</v>
      </c>
      <c r="N71">
        <f t="shared" si="7"/>
        <v>64</v>
      </c>
      <c r="O71">
        <v>71.75</v>
      </c>
      <c r="P71">
        <v>106.916666666667</v>
      </c>
    </row>
    <row r="72" spans="1:16">
      <c r="A72" t="s">
        <v>215</v>
      </c>
      <c r="B72" t="s">
        <v>93</v>
      </c>
      <c r="C72" t="s">
        <v>216</v>
      </c>
      <c r="D72" t="s">
        <v>216</v>
      </c>
      <c r="E72">
        <v>0.356200215211677</v>
      </c>
      <c r="F72" t="s">
        <v>48</v>
      </c>
      <c r="G72">
        <v>4.0762222697248998</v>
      </c>
      <c r="H72">
        <f t="shared" si="4"/>
        <v>83</v>
      </c>
      <c r="I72">
        <v>5.5298596878277104</v>
      </c>
      <c r="J72">
        <f t="shared" si="5"/>
        <v>64</v>
      </c>
      <c r="K72">
        <v>6.09908757161402</v>
      </c>
      <c r="L72">
        <f t="shared" si="6"/>
        <v>60</v>
      </c>
      <c r="M72">
        <v>7.8691036431813197</v>
      </c>
      <c r="N72">
        <f t="shared" si="7"/>
        <v>64</v>
      </c>
      <c r="O72">
        <v>72.75</v>
      </c>
      <c r="P72">
        <v>106.916666666667</v>
      </c>
    </row>
    <row r="73" spans="1:16">
      <c r="A73" t="s">
        <v>217</v>
      </c>
      <c r="B73" t="s">
        <v>93</v>
      </c>
      <c r="C73" t="s">
        <v>218</v>
      </c>
      <c r="D73" t="s">
        <v>218</v>
      </c>
      <c r="E73">
        <v>0.42922421150385898</v>
      </c>
      <c r="F73" t="s">
        <v>48</v>
      </c>
      <c r="G73">
        <v>4.0762222697248998</v>
      </c>
      <c r="H73">
        <f t="shared" si="4"/>
        <v>83</v>
      </c>
      <c r="I73">
        <v>5.5298596878277104</v>
      </c>
      <c r="J73">
        <f t="shared" si="5"/>
        <v>64</v>
      </c>
      <c r="K73">
        <v>6.09908757161402</v>
      </c>
      <c r="L73">
        <f t="shared" si="6"/>
        <v>60</v>
      </c>
      <c r="M73">
        <v>7.8691036431813197</v>
      </c>
      <c r="N73">
        <f t="shared" si="7"/>
        <v>64</v>
      </c>
      <c r="O73">
        <v>73.75</v>
      </c>
      <c r="P73">
        <v>106.916666666667</v>
      </c>
    </row>
    <row r="74" spans="1:16">
      <c r="A74" t="s">
        <v>219</v>
      </c>
      <c r="B74" t="s">
        <v>93</v>
      </c>
      <c r="C74" t="s">
        <v>220</v>
      </c>
      <c r="D74" t="s">
        <v>220</v>
      </c>
      <c r="E74">
        <v>0.27049593052947801</v>
      </c>
      <c r="F74" t="s">
        <v>48</v>
      </c>
      <c r="G74">
        <v>4.0762222697248998</v>
      </c>
      <c r="H74">
        <f t="shared" si="4"/>
        <v>83</v>
      </c>
      <c r="I74">
        <v>5.5298596878277104</v>
      </c>
      <c r="J74">
        <f t="shared" si="5"/>
        <v>64</v>
      </c>
      <c r="K74">
        <v>6.09908757161402</v>
      </c>
      <c r="L74">
        <f t="shared" si="6"/>
        <v>60</v>
      </c>
      <c r="M74">
        <v>7.8691036431813197</v>
      </c>
      <c r="N74">
        <f t="shared" si="7"/>
        <v>64</v>
      </c>
      <c r="O74">
        <v>74.75</v>
      </c>
      <c r="P74">
        <v>106.916666666667</v>
      </c>
    </row>
    <row r="75" spans="1:16">
      <c r="A75" t="s">
        <v>221</v>
      </c>
      <c r="B75" t="s">
        <v>93</v>
      </c>
      <c r="C75" t="s">
        <v>222</v>
      </c>
      <c r="D75" t="s">
        <v>223</v>
      </c>
      <c r="E75">
        <v>0.28971246563902098</v>
      </c>
      <c r="F75" t="s">
        <v>20</v>
      </c>
      <c r="G75">
        <v>6.9244723855495796</v>
      </c>
      <c r="H75">
        <f t="shared" si="4"/>
        <v>74</v>
      </c>
      <c r="I75">
        <v>4.6075773762614904</v>
      </c>
      <c r="J75">
        <f t="shared" si="5"/>
        <v>72</v>
      </c>
      <c r="K75">
        <v>4.4341595027473302</v>
      </c>
      <c r="L75">
        <f t="shared" si="6"/>
        <v>75</v>
      </c>
      <c r="M75">
        <v>5.2912208022741201</v>
      </c>
      <c r="N75">
        <f t="shared" si="7"/>
        <v>83</v>
      </c>
      <c r="O75">
        <v>76</v>
      </c>
      <c r="P75">
        <v>23.3333333333333</v>
      </c>
    </row>
    <row r="76" spans="1:16">
      <c r="A76" t="s">
        <v>224</v>
      </c>
      <c r="B76" t="s">
        <v>17</v>
      </c>
      <c r="C76" t="s">
        <v>225</v>
      </c>
      <c r="D76" t="s">
        <v>226</v>
      </c>
      <c r="E76">
        <v>0.34500752659512501</v>
      </c>
      <c r="F76" t="s">
        <v>20</v>
      </c>
      <c r="G76">
        <v>10.8492028315866</v>
      </c>
      <c r="H76">
        <f t="shared" si="4"/>
        <v>44</v>
      </c>
      <c r="I76">
        <v>0.58748224365908197</v>
      </c>
      <c r="J76">
        <f t="shared" si="5"/>
        <v>191</v>
      </c>
      <c r="K76">
        <v>16.1346531982452</v>
      </c>
      <c r="L76">
        <f t="shared" si="6"/>
        <v>28</v>
      </c>
      <c r="M76">
        <v>11.2089842375961</v>
      </c>
      <c r="N76">
        <f t="shared" si="7"/>
        <v>43</v>
      </c>
      <c r="O76">
        <v>76.5</v>
      </c>
      <c r="P76">
        <v>5880.3333333333303</v>
      </c>
    </row>
    <row r="77" spans="1:16">
      <c r="A77" t="s">
        <v>227</v>
      </c>
      <c r="B77" t="s">
        <v>17</v>
      </c>
      <c r="C77" t="s">
        <v>228</v>
      </c>
      <c r="D77" t="s">
        <v>229</v>
      </c>
      <c r="E77">
        <v>6.3422409288856396E-2</v>
      </c>
      <c r="F77" t="s">
        <v>20</v>
      </c>
      <c r="G77">
        <v>10.8492028315866</v>
      </c>
      <c r="H77">
        <f t="shared" si="4"/>
        <v>44</v>
      </c>
      <c r="I77">
        <v>0.58748224365908197</v>
      </c>
      <c r="J77">
        <f t="shared" si="5"/>
        <v>191</v>
      </c>
      <c r="K77">
        <v>16.1346531982452</v>
      </c>
      <c r="L77">
        <f t="shared" si="6"/>
        <v>28</v>
      </c>
      <c r="M77">
        <v>11.2089842375961</v>
      </c>
      <c r="N77">
        <f t="shared" si="7"/>
        <v>43</v>
      </c>
      <c r="O77">
        <v>77.5</v>
      </c>
      <c r="P77">
        <v>5880.3333333333303</v>
      </c>
    </row>
    <row r="78" spans="1:16">
      <c r="A78" t="s">
        <v>230</v>
      </c>
      <c r="B78" t="s">
        <v>17</v>
      </c>
      <c r="C78" t="s">
        <v>231</v>
      </c>
      <c r="D78" t="s">
        <v>232</v>
      </c>
      <c r="E78">
        <v>1.39027582463716</v>
      </c>
      <c r="F78" t="s">
        <v>25</v>
      </c>
      <c r="G78">
        <v>4.8355183113094196</v>
      </c>
      <c r="H78">
        <f t="shared" si="4"/>
        <v>79</v>
      </c>
      <c r="I78">
        <v>4.4464450520622796</v>
      </c>
      <c r="J78">
        <f t="shared" si="5"/>
        <v>73</v>
      </c>
      <c r="K78">
        <v>4.3399371682892802</v>
      </c>
      <c r="L78">
        <f t="shared" si="6"/>
        <v>79</v>
      </c>
      <c r="M78">
        <v>6.5071342934617</v>
      </c>
      <c r="N78">
        <f t="shared" si="7"/>
        <v>81</v>
      </c>
      <c r="O78">
        <v>78</v>
      </c>
      <c r="P78">
        <v>12</v>
      </c>
    </row>
    <row r="79" spans="1:16">
      <c r="A79" t="s">
        <v>233</v>
      </c>
      <c r="B79" t="s">
        <v>17</v>
      </c>
      <c r="C79" t="s">
        <v>234</v>
      </c>
      <c r="D79" t="s">
        <v>235</v>
      </c>
      <c r="E79">
        <v>0.82195441930644397</v>
      </c>
      <c r="F79" t="s">
        <v>20</v>
      </c>
      <c r="G79">
        <v>8.33960734436614</v>
      </c>
      <c r="H79">
        <f t="shared" si="4"/>
        <v>51</v>
      </c>
      <c r="I79">
        <v>3.8226157759302701</v>
      </c>
      <c r="J79">
        <f t="shared" si="5"/>
        <v>84</v>
      </c>
      <c r="K79">
        <v>3.7178281350138298</v>
      </c>
      <c r="L79">
        <f t="shared" si="6"/>
        <v>81</v>
      </c>
      <c r="M79">
        <v>3.6977348211595098</v>
      </c>
      <c r="N79">
        <f t="shared" si="7"/>
        <v>103</v>
      </c>
      <c r="O79">
        <v>79.75</v>
      </c>
      <c r="P79">
        <v>462.25</v>
      </c>
    </row>
    <row r="80" spans="1:16">
      <c r="A80" t="s">
        <v>236</v>
      </c>
      <c r="B80" t="s">
        <v>17</v>
      </c>
      <c r="C80" t="s">
        <v>237</v>
      </c>
      <c r="D80" t="s">
        <v>238</v>
      </c>
      <c r="E80">
        <v>4.1954628416259798E-2</v>
      </c>
      <c r="F80" t="s">
        <v>20</v>
      </c>
      <c r="G80">
        <v>8.33960734436614</v>
      </c>
      <c r="H80">
        <f t="shared" si="4"/>
        <v>51</v>
      </c>
      <c r="I80">
        <v>3.8226157759302701</v>
      </c>
      <c r="J80">
        <f t="shared" si="5"/>
        <v>84</v>
      </c>
      <c r="K80">
        <v>3.7178281350138298</v>
      </c>
      <c r="L80">
        <f t="shared" si="6"/>
        <v>81</v>
      </c>
      <c r="M80">
        <v>3.6977348211595098</v>
      </c>
      <c r="N80">
        <f t="shared" si="7"/>
        <v>103</v>
      </c>
      <c r="O80">
        <v>80.75</v>
      </c>
      <c r="P80">
        <v>462.25</v>
      </c>
    </row>
    <row r="81" spans="1:16">
      <c r="A81" t="s">
        <v>239</v>
      </c>
      <c r="B81" t="s">
        <v>17</v>
      </c>
      <c r="C81" t="s">
        <v>240</v>
      </c>
      <c r="D81" t="s">
        <v>241</v>
      </c>
      <c r="E81">
        <v>0.82082729563237999</v>
      </c>
      <c r="F81" t="s">
        <v>20</v>
      </c>
      <c r="G81">
        <v>4.3264207701494897</v>
      </c>
      <c r="H81">
        <f t="shared" si="4"/>
        <v>80</v>
      </c>
      <c r="I81">
        <v>4.3378527234572903</v>
      </c>
      <c r="J81">
        <f t="shared" si="5"/>
        <v>75</v>
      </c>
      <c r="K81">
        <v>4.3928346385828796</v>
      </c>
      <c r="L81">
        <f t="shared" si="6"/>
        <v>76</v>
      </c>
      <c r="M81">
        <v>4.2341684471260299</v>
      </c>
      <c r="N81">
        <f t="shared" si="7"/>
        <v>92</v>
      </c>
      <c r="O81">
        <v>80.75</v>
      </c>
      <c r="P81">
        <v>60.9166666666667</v>
      </c>
    </row>
    <row r="82" spans="1:16">
      <c r="A82" t="s">
        <v>242</v>
      </c>
      <c r="B82" t="s">
        <v>17</v>
      </c>
      <c r="C82" t="s">
        <v>243</v>
      </c>
      <c r="D82" t="s">
        <v>244</v>
      </c>
      <c r="E82">
        <v>0.27857582711151502</v>
      </c>
      <c r="F82" t="s">
        <v>20</v>
      </c>
      <c r="G82">
        <v>4.3264207701494897</v>
      </c>
      <c r="H82">
        <f t="shared" si="4"/>
        <v>80</v>
      </c>
      <c r="I82">
        <v>4.3378527234572903</v>
      </c>
      <c r="J82">
        <f t="shared" si="5"/>
        <v>75</v>
      </c>
      <c r="K82">
        <v>4.3928346385828796</v>
      </c>
      <c r="L82">
        <f t="shared" si="6"/>
        <v>76</v>
      </c>
      <c r="M82">
        <v>4.2341684471260299</v>
      </c>
      <c r="N82">
        <f t="shared" si="7"/>
        <v>92</v>
      </c>
      <c r="O82">
        <v>81.75</v>
      </c>
      <c r="P82">
        <v>60.9166666666667</v>
      </c>
    </row>
    <row r="83" spans="1:16">
      <c r="A83" t="s">
        <v>245</v>
      </c>
      <c r="B83" t="s">
        <v>17</v>
      </c>
      <c r="C83" t="s">
        <v>246</v>
      </c>
      <c r="D83" t="s">
        <v>247</v>
      </c>
      <c r="E83">
        <v>1.92726798842907E-3</v>
      </c>
      <c r="F83" t="s">
        <v>20</v>
      </c>
      <c r="G83">
        <v>8.33960734436614</v>
      </c>
      <c r="H83">
        <f t="shared" si="4"/>
        <v>51</v>
      </c>
      <c r="I83">
        <v>3.8226157759302701</v>
      </c>
      <c r="J83">
        <f t="shared" si="5"/>
        <v>84</v>
      </c>
      <c r="K83">
        <v>3.7178281350138298</v>
      </c>
      <c r="L83">
        <f t="shared" si="6"/>
        <v>81</v>
      </c>
      <c r="M83">
        <v>3.6977348211595098</v>
      </c>
      <c r="N83">
        <f t="shared" si="7"/>
        <v>103</v>
      </c>
      <c r="O83">
        <v>81.75</v>
      </c>
      <c r="P83">
        <v>462.25</v>
      </c>
    </row>
    <row r="84" spans="1:16">
      <c r="A84" t="s">
        <v>248</v>
      </c>
      <c r="B84" t="s">
        <v>30</v>
      </c>
      <c r="C84" t="s">
        <v>249</v>
      </c>
      <c r="D84" t="s">
        <v>250</v>
      </c>
      <c r="E84">
        <v>3.1503757314430798</v>
      </c>
      <c r="F84" t="s">
        <v>20</v>
      </c>
      <c r="G84">
        <v>7.0581030501094704</v>
      </c>
      <c r="H84">
        <f t="shared" si="4"/>
        <v>71</v>
      </c>
      <c r="I84">
        <v>4.4375841757269603</v>
      </c>
      <c r="J84">
        <f t="shared" si="5"/>
        <v>74</v>
      </c>
      <c r="K84">
        <v>4.8434299332647202</v>
      </c>
      <c r="L84">
        <f t="shared" si="6"/>
        <v>74</v>
      </c>
      <c r="M84">
        <v>3.5817459907318399</v>
      </c>
      <c r="N84">
        <f t="shared" si="7"/>
        <v>109</v>
      </c>
      <c r="O84">
        <v>82</v>
      </c>
      <c r="P84">
        <v>326</v>
      </c>
    </row>
    <row r="85" spans="1:16">
      <c r="A85" t="s">
        <v>251</v>
      </c>
      <c r="B85" t="s">
        <v>17</v>
      </c>
      <c r="C85" t="s">
        <v>252</v>
      </c>
      <c r="D85" t="s">
        <v>253</v>
      </c>
      <c r="E85">
        <v>0.49495422507092002</v>
      </c>
      <c r="F85" t="s">
        <v>20</v>
      </c>
      <c r="G85">
        <v>6.9546418028702304</v>
      </c>
      <c r="H85">
        <f t="shared" si="4"/>
        <v>72</v>
      </c>
      <c r="I85">
        <v>1.7001478720868901</v>
      </c>
      <c r="J85">
        <f t="shared" si="5"/>
        <v>126</v>
      </c>
      <c r="K85">
        <v>7.6502915227332098</v>
      </c>
      <c r="L85">
        <f t="shared" si="6"/>
        <v>51</v>
      </c>
      <c r="M85">
        <v>6.28124096154973</v>
      </c>
      <c r="N85">
        <f t="shared" si="7"/>
        <v>82</v>
      </c>
      <c r="O85">
        <v>82.75</v>
      </c>
      <c r="P85">
        <v>998.25</v>
      </c>
    </row>
    <row r="86" spans="1:16">
      <c r="A86" t="s">
        <v>254</v>
      </c>
      <c r="B86" t="s">
        <v>17</v>
      </c>
      <c r="C86" t="s">
        <v>255</v>
      </c>
      <c r="D86" t="s">
        <v>255</v>
      </c>
      <c r="E86">
        <v>2.32966860250193</v>
      </c>
      <c r="F86" t="s">
        <v>20</v>
      </c>
      <c r="G86">
        <v>6.8967307133037297</v>
      </c>
      <c r="H86">
        <f t="shared" si="4"/>
        <v>75</v>
      </c>
      <c r="I86">
        <v>2.58869470739271</v>
      </c>
      <c r="J86">
        <f t="shared" si="5"/>
        <v>98</v>
      </c>
      <c r="K86">
        <v>3.43262734076428</v>
      </c>
      <c r="L86">
        <f t="shared" si="6"/>
        <v>85</v>
      </c>
      <c r="M86">
        <v>7.2000196867311397</v>
      </c>
      <c r="N86">
        <f t="shared" si="7"/>
        <v>73</v>
      </c>
      <c r="O86">
        <v>82.75</v>
      </c>
      <c r="P86">
        <v>130.916666666667</v>
      </c>
    </row>
    <row r="87" spans="1:16">
      <c r="A87" t="s">
        <v>256</v>
      </c>
      <c r="B87" t="s">
        <v>17</v>
      </c>
      <c r="C87" t="s">
        <v>257</v>
      </c>
      <c r="D87" t="s">
        <v>258</v>
      </c>
      <c r="E87">
        <v>0.37332425485263498</v>
      </c>
      <c r="F87" t="s">
        <v>20</v>
      </c>
      <c r="G87">
        <v>4.3264207701494897</v>
      </c>
      <c r="H87">
        <f t="shared" si="4"/>
        <v>80</v>
      </c>
      <c r="I87">
        <v>4.3378527234572903</v>
      </c>
      <c r="J87">
        <f t="shared" si="5"/>
        <v>75</v>
      </c>
      <c r="K87">
        <v>4.3928346385828796</v>
      </c>
      <c r="L87">
        <f t="shared" si="6"/>
        <v>76</v>
      </c>
      <c r="M87">
        <v>4.2341684471260299</v>
      </c>
      <c r="N87">
        <f t="shared" si="7"/>
        <v>92</v>
      </c>
      <c r="O87">
        <v>82.75</v>
      </c>
      <c r="P87">
        <v>60.9166666666667</v>
      </c>
    </row>
    <row r="88" spans="1:16">
      <c r="A88" t="s">
        <v>259</v>
      </c>
      <c r="B88" t="s">
        <v>17</v>
      </c>
      <c r="C88" t="s">
        <v>260</v>
      </c>
      <c r="D88" t="s">
        <v>261</v>
      </c>
      <c r="E88">
        <v>8.3966241784376601E-4</v>
      </c>
      <c r="F88" t="s">
        <v>20</v>
      </c>
      <c r="G88">
        <v>4.9868403924604499</v>
      </c>
      <c r="H88">
        <f t="shared" si="4"/>
        <v>78</v>
      </c>
      <c r="I88">
        <v>1.8481751119562699</v>
      </c>
      <c r="J88">
        <f t="shared" si="5"/>
        <v>120</v>
      </c>
      <c r="K88">
        <v>1.7417605546459001</v>
      </c>
      <c r="L88">
        <f t="shared" si="6"/>
        <v>121</v>
      </c>
      <c r="M88">
        <v>23.0661880389784</v>
      </c>
      <c r="N88">
        <f t="shared" si="7"/>
        <v>13</v>
      </c>
      <c r="O88">
        <v>83</v>
      </c>
      <c r="P88">
        <v>2579.3333333333298</v>
      </c>
    </row>
    <row r="89" spans="1:16">
      <c r="A89" t="s">
        <v>262</v>
      </c>
      <c r="B89" t="s">
        <v>17</v>
      </c>
      <c r="C89" t="s">
        <v>262</v>
      </c>
      <c r="D89" t="s">
        <v>263</v>
      </c>
      <c r="E89" t="s">
        <v>38</v>
      </c>
      <c r="F89" t="s">
        <v>20</v>
      </c>
      <c r="G89">
        <v>6.8967307133037297</v>
      </c>
      <c r="H89">
        <f t="shared" si="4"/>
        <v>75</v>
      </c>
      <c r="I89">
        <v>2.58869470739271</v>
      </c>
      <c r="J89">
        <f t="shared" si="5"/>
        <v>98</v>
      </c>
      <c r="K89">
        <v>3.43262734076428</v>
      </c>
      <c r="L89">
        <f t="shared" si="6"/>
        <v>85</v>
      </c>
      <c r="M89">
        <v>7.2000196867311397</v>
      </c>
      <c r="N89">
        <f t="shared" si="7"/>
        <v>73</v>
      </c>
      <c r="O89">
        <v>83.75</v>
      </c>
      <c r="P89">
        <v>130.916666666667</v>
      </c>
    </row>
    <row r="90" spans="1:16">
      <c r="A90" t="s">
        <v>264</v>
      </c>
      <c r="B90" t="s">
        <v>17</v>
      </c>
      <c r="C90" t="s">
        <v>265</v>
      </c>
      <c r="D90" t="s">
        <v>266</v>
      </c>
      <c r="E90">
        <v>6.49663552191201</v>
      </c>
      <c r="F90" t="s">
        <v>25</v>
      </c>
      <c r="G90">
        <v>2.7210063687430899</v>
      </c>
      <c r="H90">
        <f t="shared" si="4"/>
        <v>105</v>
      </c>
      <c r="I90">
        <v>3.8683151429596099</v>
      </c>
      <c r="J90">
        <f t="shared" si="5"/>
        <v>83</v>
      </c>
      <c r="K90">
        <v>4.0908599754316901</v>
      </c>
      <c r="L90">
        <f t="shared" si="6"/>
        <v>80</v>
      </c>
      <c r="M90">
        <v>4.2061504108545797</v>
      </c>
      <c r="N90">
        <f t="shared" si="7"/>
        <v>95</v>
      </c>
      <c r="O90">
        <v>90.75</v>
      </c>
      <c r="P90">
        <v>132.25</v>
      </c>
    </row>
    <row r="91" spans="1:16">
      <c r="A91" t="s">
        <v>267</v>
      </c>
      <c r="B91" t="s">
        <v>17</v>
      </c>
      <c r="C91" t="s">
        <v>268</v>
      </c>
      <c r="D91" t="s">
        <v>269</v>
      </c>
      <c r="E91">
        <v>4.0310201903655498</v>
      </c>
      <c r="F91" t="s">
        <v>25</v>
      </c>
      <c r="G91">
        <v>2.8499490690595501</v>
      </c>
      <c r="H91">
        <f t="shared" si="4"/>
        <v>100</v>
      </c>
      <c r="I91">
        <v>3.1926811757137501</v>
      </c>
      <c r="J91">
        <f t="shared" si="5"/>
        <v>88</v>
      </c>
      <c r="K91">
        <v>3.3459741270282701</v>
      </c>
      <c r="L91">
        <f t="shared" si="6"/>
        <v>89</v>
      </c>
      <c r="M91">
        <v>4.14567228125658</v>
      </c>
      <c r="N91">
        <f t="shared" si="7"/>
        <v>96</v>
      </c>
      <c r="O91">
        <v>93.25</v>
      </c>
      <c r="P91">
        <v>32.9166666666667</v>
      </c>
    </row>
    <row r="92" spans="1:16">
      <c r="A92" t="s">
        <v>270</v>
      </c>
      <c r="B92" t="s">
        <v>17</v>
      </c>
      <c r="C92" t="s">
        <v>271</v>
      </c>
      <c r="D92" t="s">
        <v>272</v>
      </c>
      <c r="E92">
        <v>4.0445148243110296</v>
      </c>
      <c r="F92" t="s">
        <v>179</v>
      </c>
      <c r="G92">
        <v>2.8499490690595501</v>
      </c>
      <c r="H92">
        <f t="shared" si="4"/>
        <v>100</v>
      </c>
      <c r="I92">
        <v>3.1926811757137501</v>
      </c>
      <c r="J92">
        <f t="shared" si="5"/>
        <v>88</v>
      </c>
      <c r="K92">
        <v>3.3459741270282701</v>
      </c>
      <c r="L92">
        <f t="shared" si="6"/>
        <v>89</v>
      </c>
      <c r="M92">
        <v>4.14567228125658</v>
      </c>
      <c r="N92">
        <f t="shared" si="7"/>
        <v>96</v>
      </c>
      <c r="O92">
        <v>94.25</v>
      </c>
      <c r="P92">
        <v>32.9166666666667</v>
      </c>
    </row>
    <row r="93" spans="1:16">
      <c r="A93" t="s">
        <v>273</v>
      </c>
      <c r="B93" t="s">
        <v>17</v>
      </c>
      <c r="C93" t="s">
        <v>274</v>
      </c>
      <c r="D93" t="s">
        <v>275</v>
      </c>
      <c r="E93">
        <v>3.16717416512313</v>
      </c>
      <c r="F93" t="s">
        <v>179</v>
      </c>
      <c r="G93">
        <v>2.8499490690595501</v>
      </c>
      <c r="H93">
        <f t="shared" si="4"/>
        <v>100</v>
      </c>
      <c r="I93">
        <v>3.1926811757137501</v>
      </c>
      <c r="J93">
        <f t="shared" si="5"/>
        <v>88</v>
      </c>
      <c r="K93">
        <v>3.3459741270282701</v>
      </c>
      <c r="L93">
        <f t="shared" si="6"/>
        <v>89</v>
      </c>
      <c r="M93">
        <v>4.14567228125658</v>
      </c>
      <c r="N93">
        <f t="shared" si="7"/>
        <v>96</v>
      </c>
      <c r="O93">
        <v>95.25</v>
      </c>
      <c r="P93">
        <v>32.9166666666667</v>
      </c>
    </row>
    <row r="94" spans="1:16">
      <c r="A94" t="s">
        <v>276</v>
      </c>
      <c r="B94" t="s">
        <v>93</v>
      </c>
      <c r="C94" t="s">
        <v>277</v>
      </c>
      <c r="D94" t="s">
        <v>277</v>
      </c>
      <c r="E94">
        <v>1.16260149679256E-2</v>
      </c>
      <c r="F94" t="s">
        <v>179</v>
      </c>
      <c r="G94">
        <v>2.5303126323487302</v>
      </c>
      <c r="H94">
        <f t="shared" si="4"/>
        <v>112</v>
      </c>
      <c r="I94">
        <v>3.1138746309548302</v>
      </c>
      <c r="J94">
        <f t="shared" si="5"/>
        <v>91</v>
      </c>
      <c r="K94">
        <v>3.3268137875405399</v>
      </c>
      <c r="L94">
        <f t="shared" si="6"/>
        <v>92</v>
      </c>
      <c r="M94">
        <v>4.58319412802516</v>
      </c>
      <c r="N94">
        <f t="shared" si="7"/>
        <v>88</v>
      </c>
      <c r="O94">
        <v>95.75</v>
      </c>
      <c r="P94">
        <v>120.25</v>
      </c>
    </row>
    <row r="95" spans="1:16">
      <c r="A95" t="s">
        <v>278</v>
      </c>
      <c r="B95" t="s">
        <v>93</v>
      </c>
      <c r="C95" t="s">
        <v>279</v>
      </c>
      <c r="D95" t="s">
        <v>280</v>
      </c>
      <c r="E95">
        <v>0.34720245849433901</v>
      </c>
      <c r="F95" t="s">
        <v>48</v>
      </c>
      <c r="G95">
        <v>2.5303126323487302</v>
      </c>
      <c r="H95">
        <f t="shared" si="4"/>
        <v>112</v>
      </c>
      <c r="I95">
        <v>3.1138746309548302</v>
      </c>
      <c r="J95">
        <f t="shared" si="5"/>
        <v>91</v>
      </c>
      <c r="K95">
        <v>3.3268137875405399</v>
      </c>
      <c r="L95">
        <f t="shared" si="6"/>
        <v>92</v>
      </c>
      <c r="M95">
        <v>4.58319412802516</v>
      </c>
      <c r="N95">
        <f t="shared" si="7"/>
        <v>88</v>
      </c>
      <c r="O95">
        <v>96.75</v>
      </c>
      <c r="P95">
        <v>120.25</v>
      </c>
    </row>
    <row r="96" spans="1:16">
      <c r="A96" t="s">
        <v>281</v>
      </c>
      <c r="B96" t="s">
        <v>93</v>
      </c>
      <c r="C96" t="s">
        <v>282</v>
      </c>
      <c r="D96" t="s">
        <v>282</v>
      </c>
      <c r="E96">
        <v>0.10391127520315301</v>
      </c>
      <c r="F96" t="s">
        <v>48</v>
      </c>
      <c r="G96">
        <v>2.5303126323487302</v>
      </c>
      <c r="H96">
        <f t="shared" si="4"/>
        <v>112</v>
      </c>
      <c r="I96">
        <v>3.1138746309548302</v>
      </c>
      <c r="J96">
        <f t="shared" si="5"/>
        <v>91</v>
      </c>
      <c r="K96">
        <v>3.3268137875405399</v>
      </c>
      <c r="L96">
        <f t="shared" si="6"/>
        <v>92</v>
      </c>
      <c r="M96">
        <v>4.58319412802516</v>
      </c>
      <c r="N96">
        <f t="shared" si="7"/>
        <v>88</v>
      </c>
      <c r="O96">
        <v>97.75</v>
      </c>
      <c r="P96">
        <v>120.25</v>
      </c>
    </row>
    <row r="97" spans="1:16">
      <c r="A97" t="s">
        <v>283</v>
      </c>
      <c r="B97" t="s">
        <v>17</v>
      </c>
      <c r="C97" t="s">
        <v>284</v>
      </c>
      <c r="D97" t="s">
        <v>285</v>
      </c>
      <c r="E97">
        <v>8.6654115360620704E-2</v>
      </c>
      <c r="F97" t="s">
        <v>25</v>
      </c>
      <c r="G97">
        <v>2.8014434408443298</v>
      </c>
      <c r="H97">
        <f t="shared" si="4"/>
        <v>103</v>
      </c>
      <c r="I97">
        <v>2.5653789256036998</v>
      </c>
      <c r="J97">
        <f t="shared" si="5"/>
        <v>100</v>
      </c>
      <c r="K97">
        <v>3.6111952285190498</v>
      </c>
      <c r="L97">
        <f t="shared" si="6"/>
        <v>84</v>
      </c>
      <c r="M97">
        <v>3.6107478303754301</v>
      </c>
      <c r="N97">
        <f t="shared" si="7"/>
        <v>108</v>
      </c>
      <c r="O97">
        <v>98.75</v>
      </c>
      <c r="P97">
        <v>107.583333333333</v>
      </c>
    </row>
    <row r="98" spans="1:16">
      <c r="A98" t="s">
        <v>286</v>
      </c>
      <c r="B98" t="s">
        <v>93</v>
      </c>
      <c r="C98" t="s">
        <v>287</v>
      </c>
      <c r="D98" t="s">
        <v>288</v>
      </c>
      <c r="E98">
        <v>1.6136071640899599E-3</v>
      </c>
      <c r="F98" t="s">
        <v>48</v>
      </c>
      <c r="G98">
        <v>2.5303126323487302</v>
      </c>
      <c r="H98">
        <f t="shared" si="4"/>
        <v>112</v>
      </c>
      <c r="I98">
        <v>3.1138746309548302</v>
      </c>
      <c r="J98">
        <f t="shared" si="5"/>
        <v>91</v>
      </c>
      <c r="K98">
        <v>3.3268137875405399</v>
      </c>
      <c r="L98">
        <f t="shared" si="6"/>
        <v>92</v>
      </c>
      <c r="M98">
        <v>4.58319412802516</v>
      </c>
      <c r="N98">
        <f t="shared" si="7"/>
        <v>88</v>
      </c>
      <c r="O98">
        <v>98.75</v>
      </c>
      <c r="P98">
        <v>120.25</v>
      </c>
    </row>
    <row r="99" spans="1:16">
      <c r="A99" t="s">
        <v>289</v>
      </c>
      <c r="B99" t="s">
        <v>93</v>
      </c>
      <c r="C99" t="s">
        <v>290</v>
      </c>
      <c r="D99" t="s">
        <v>291</v>
      </c>
      <c r="E99">
        <v>0.365463425471722</v>
      </c>
      <c r="F99" t="s">
        <v>20</v>
      </c>
      <c r="G99">
        <v>3.3669582042995598</v>
      </c>
      <c r="H99">
        <f t="shared" si="4"/>
        <v>96</v>
      </c>
      <c r="I99">
        <v>2.4395440508926698</v>
      </c>
      <c r="J99">
        <f t="shared" si="5"/>
        <v>102</v>
      </c>
      <c r="K99">
        <v>1.9404771845562301</v>
      </c>
      <c r="L99">
        <f t="shared" si="6"/>
        <v>116</v>
      </c>
      <c r="M99">
        <v>4.6621752237129304</v>
      </c>
      <c r="N99">
        <f t="shared" si="7"/>
        <v>85</v>
      </c>
      <c r="O99">
        <v>99.75</v>
      </c>
      <c r="P99">
        <v>166.916666666667</v>
      </c>
    </row>
    <row r="100" spans="1:16">
      <c r="A100" t="s">
        <v>292</v>
      </c>
      <c r="B100" t="s">
        <v>93</v>
      </c>
      <c r="C100" t="s">
        <v>293</v>
      </c>
      <c r="D100" t="s">
        <v>293</v>
      </c>
      <c r="E100">
        <v>0.35028705430402102</v>
      </c>
      <c r="F100" t="s">
        <v>179</v>
      </c>
      <c r="G100">
        <v>3.3669582042995598</v>
      </c>
      <c r="H100">
        <f t="shared" si="4"/>
        <v>96</v>
      </c>
      <c r="I100">
        <v>2.4395440508926698</v>
      </c>
      <c r="J100">
        <f t="shared" si="5"/>
        <v>102</v>
      </c>
      <c r="K100">
        <v>1.9404771845562301</v>
      </c>
      <c r="L100">
        <f t="shared" si="6"/>
        <v>116</v>
      </c>
      <c r="M100">
        <v>4.6621752237129304</v>
      </c>
      <c r="N100">
        <f t="shared" si="7"/>
        <v>85</v>
      </c>
      <c r="O100">
        <v>100.75</v>
      </c>
      <c r="P100">
        <v>166.916666666667</v>
      </c>
    </row>
    <row r="101" spans="1:16">
      <c r="A101" t="s">
        <v>294</v>
      </c>
      <c r="B101" t="s">
        <v>17</v>
      </c>
      <c r="C101" t="s">
        <v>295</v>
      </c>
      <c r="D101" t="s">
        <v>296</v>
      </c>
      <c r="E101">
        <v>1.15724391197126E-2</v>
      </c>
      <c r="F101" t="s">
        <v>48</v>
      </c>
      <c r="G101">
        <v>6.1688141365206404</v>
      </c>
      <c r="H101">
        <f t="shared" si="4"/>
        <v>77</v>
      </c>
      <c r="I101">
        <v>0.13880943476779101</v>
      </c>
      <c r="J101">
        <f t="shared" si="5"/>
        <v>208</v>
      </c>
      <c r="K101">
        <v>8.8157077864072804</v>
      </c>
      <c r="L101">
        <f t="shared" si="6"/>
        <v>37</v>
      </c>
      <c r="M101">
        <v>4.8816299461742698</v>
      </c>
      <c r="N101">
        <f t="shared" si="7"/>
        <v>84</v>
      </c>
      <c r="O101">
        <v>101.5</v>
      </c>
      <c r="P101">
        <v>5469.6666666666697</v>
      </c>
    </row>
    <row r="102" spans="1:16">
      <c r="A102" t="s">
        <v>297</v>
      </c>
      <c r="B102" t="s">
        <v>93</v>
      </c>
      <c r="C102" t="s">
        <v>298</v>
      </c>
      <c r="D102" t="s">
        <v>299</v>
      </c>
      <c r="E102">
        <v>0.29185847616404997</v>
      </c>
      <c r="F102" t="s">
        <v>20</v>
      </c>
      <c r="G102">
        <v>3.3669582042995598</v>
      </c>
      <c r="H102">
        <f t="shared" si="4"/>
        <v>96</v>
      </c>
      <c r="I102">
        <v>2.4395440508926698</v>
      </c>
      <c r="J102">
        <f t="shared" si="5"/>
        <v>102</v>
      </c>
      <c r="K102">
        <v>1.9404771845562301</v>
      </c>
      <c r="L102">
        <f t="shared" si="6"/>
        <v>116</v>
      </c>
      <c r="M102">
        <v>4.6621752237129304</v>
      </c>
      <c r="N102">
        <f t="shared" si="7"/>
        <v>85</v>
      </c>
      <c r="O102">
        <v>101.75</v>
      </c>
      <c r="P102">
        <v>166.916666666667</v>
      </c>
    </row>
    <row r="103" spans="1:16">
      <c r="A103" t="s">
        <v>300</v>
      </c>
      <c r="B103" t="s">
        <v>17</v>
      </c>
      <c r="C103" t="s">
        <v>301</v>
      </c>
      <c r="D103" t="s">
        <v>302</v>
      </c>
      <c r="E103">
        <v>1.3219240666316301</v>
      </c>
      <c r="F103" t="s">
        <v>25</v>
      </c>
      <c r="G103">
        <v>3.7253746566487802</v>
      </c>
      <c r="H103">
        <f t="shared" si="4"/>
        <v>95</v>
      </c>
      <c r="I103">
        <v>2.0587459467217499</v>
      </c>
      <c r="J103">
        <f t="shared" si="5"/>
        <v>108</v>
      </c>
      <c r="K103">
        <v>2.1674119087645698</v>
      </c>
      <c r="L103">
        <f t="shared" si="6"/>
        <v>109</v>
      </c>
      <c r="M103">
        <v>3.2596324339706899</v>
      </c>
      <c r="N103">
        <f t="shared" si="7"/>
        <v>111</v>
      </c>
      <c r="O103">
        <v>105.75</v>
      </c>
      <c r="P103">
        <v>52.9166666666667</v>
      </c>
    </row>
    <row r="104" spans="1:16">
      <c r="A104" t="s">
        <v>303</v>
      </c>
      <c r="B104" t="s">
        <v>17</v>
      </c>
      <c r="C104" t="s">
        <v>304</v>
      </c>
      <c r="D104" t="s">
        <v>305</v>
      </c>
      <c r="E104">
        <v>1.1492306306496799E-2</v>
      </c>
      <c r="F104" t="s">
        <v>20</v>
      </c>
      <c r="G104">
        <v>3.2575624081840502</v>
      </c>
      <c r="H104">
        <f t="shared" si="4"/>
        <v>99</v>
      </c>
      <c r="I104">
        <v>3.6427508884640498</v>
      </c>
      <c r="J104">
        <f t="shared" si="5"/>
        <v>87</v>
      </c>
      <c r="K104">
        <v>1.4489825586156999</v>
      </c>
      <c r="L104">
        <f t="shared" si="6"/>
        <v>128</v>
      </c>
      <c r="M104">
        <v>3.2316520471905199</v>
      </c>
      <c r="N104">
        <f t="shared" si="7"/>
        <v>112</v>
      </c>
      <c r="O104">
        <v>106.5</v>
      </c>
      <c r="P104">
        <v>309.66666666666703</v>
      </c>
    </row>
    <row r="105" spans="1:16">
      <c r="A105" t="s">
        <v>306</v>
      </c>
      <c r="B105" t="s">
        <v>17</v>
      </c>
      <c r="C105" t="s">
        <v>307</v>
      </c>
      <c r="D105" t="s">
        <v>308</v>
      </c>
      <c r="E105">
        <v>2.31715733073476E-2</v>
      </c>
      <c r="F105" t="s">
        <v>25</v>
      </c>
      <c r="G105">
        <v>3.9603685687599102</v>
      </c>
      <c r="H105">
        <f t="shared" si="4"/>
        <v>93</v>
      </c>
      <c r="I105">
        <v>2.5360265036488499</v>
      </c>
      <c r="J105">
        <f t="shared" si="5"/>
        <v>101</v>
      </c>
      <c r="K105">
        <v>1.6041949321651801</v>
      </c>
      <c r="L105">
        <f t="shared" si="6"/>
        <v>124</v>
      </c>
      <c r="M105">
        <v>2.9718599413960298</v>
      </c>
      <c r="N105">
        <f t="shared" si="7"/>
        <v>113</v>
      </c>
      <c r="O105">
        <v>107.75</v>
      </c>
      <c r="P105">
        <v>184.916666666667</v>
      </c>
    </row>
    <row r="106" spans="1:16">
      <c r="A106" t="s">
        <v>309</v>
      </c>
      <c r="B106" t="s">
        <v>17</v>
      </c>
      <c r="C106" t="s">
        <v>310</v>
      </c>
      <c r="D106" t="s">
        <v>310</v>
      </c>
      <c r="E106">
        <v>0.41388304523156899</v>
      </c>
      <c r="F106" t="s">
        <v>20</v>
      </c>
      <c r="G106">
        <v>8.0483332594033499</v>
      </c>
      <c r="H106">
        <f t="shared" si="4"/>
        <v>66</v>
      </c>
      <c r="I106">
        <v>4.0155482630707304</v>
      </c>
      <c r="J106">
        <f t="shared" si="5"/>
        <v>80</v>
      </c>
      <c r="K106">
        <v>2.78559406001966E-2</v>
      </c>
      <c r="L106">
        <f t="shared" si="6"/>
        <v>223</v>
      </c>
      <c r="M106">
        <v>8.06692845345626</v>
      </c>
      <c r="N106">
        <f t="shared" si="7"/>
        <v>60</v>
      </c>
      <c r="O106">
        <v>108.75</v>
      </c>
      <c r="P106">
        <v>5871.5833333333303</v>
      </c>
    </row>
    <row r="107" spans="1:16">
      <c r="A107" t="s">
        <v>311</v>
      </c>
      <c r="B107" t="s">
        <v>17</v>
      </c>
      <c r="C107" t="s">
        <v>312</v>
      </c>
      <c r="D107" t="s">
        <v>313</v>
      </c>
      <c r="E107">
        <v>0.15837719011853099</v>
      </c>
      <c r="F107" t="s">
        <v>20</v>
      </c>
      <c r="G107">
        <v>2.4243579402096902</v>
      </c>
      <c r="H107">
        <f t="shared" si="4"/>
        <v>116</v>
      </c>
      <c r="I107">
        <v>4.0529984604942602</v>
      </c>
      <c r="J107">
        <f t="shared" si="5"/>
        <v>79</v>
      </c>
      <c r="K107">
        <v>1.68271047267665</v>
      </c>
      <c r="L107">
        <f t="shared" si="6"/>
        <v>123</v>
      </c>
      <c r="M107">
        <v>2.2505268554783502</v>
      </c>
      <c r="N107">
        <f t="shared" si="7"/>
        <v>128</v>
      </c>
      <c r="O107">
        <v>111.5</v>
      </c>
      <c r="P107">
        <v>493.66666666666703</v>
      </c>
    </row>
    <row r="108" spans="1:16">
      <c r="A108" t="s">
        <v>314</v>
      </c>
      <c r="B108" t="s">
        <v>17</v>
      </c>
      <c r="C108" t="s">
        <v>315</v>
      </c>
      <c r="D108" t="s">
        <v>316</v>
      </c>
      <c r="E108">
        <v>1.1879479607399901</v>
      </c>
      <c r="F108" t="s">
        <v>20</v>
      </c>
      <c r="G108">
        <v>1.15333427009253</v>
      </c>
      <c r="H108">
        <f t="shared" si="4"/>
        <v>144</v>
      </c>
      <c r="I108">
        <v>2.0951929970249501</v>
      </c>
      <c r="J108">
        <f t="shared" si="5"/>
        <v>106</v>
      </c>
      <c r="K108">
        <v>2.4284171926481002</v>
      </c>
      <c r="L108">
        <f t="shared" si="6"/>
        <v>102</v>
      </c>
      <c r="M108">
        <v>4.0111303999999999</v>
      </c>
      <c r="N108">
        <f t="shared" si="7"/>
        <v>101</v>
      </c>
      <c r="O108">
        <v>113.25</v>
      </c>
      <c r="P108">
        <v>424.91666666666703</v>
      </c>
    </row>
    <row r="109" spans="1:16">
      <c r="A109" t="s">
        <v>317</v>
      </c>
      <c r="B109" t="s">
        <v>17</v>
      </c>
      <c r="C109" t="s">
        <v>318</v>
      </c>
      <c r="D109" t="s">
        <v>319</v>
      </c>
      <c r="E109">
        <v>0.30093090660386401</v>
      </c>
      <c r="F109" t="s">
        <v>20</v>
      </c>
      <c r="G109">
        <v>1.15333427009253</v>
      </c>
      <c r="H109">
        <f t="shared" si="4"/>
        <v>144</v>
      </c>
      <c r="I109">
        <v>2.0951929970249501</v>
      </c>
      <c r="J109">
        <f t="shared" si="5"/>
        <v>106</v>
      </c>
      <c r="K109">
        <v>2.4284171926481002</v>
      </c>
      <c r="L109">
        <f t="shared" si="6"/>
        <v>102</v>
      </c>
      <c r="M109">
        <v>4.0111303999999999</v>
      </c>
      <c r="N109">
        <f t="shared" si="7"/>
        <v>101</v>
      </c>
      <c r="O109">
        <v>114.25</v>
      </c>
      <c r="P109">
        <v>424.91666666666703</v>
      </c>
    </row>
    <row r="110" spans="1:16">
      <c r="A110" t="s">
        <v>320</v>
      </c>
      <c r="B110" t="s">
        <v>17</v>
      </c>
      <c r="C110" t="s">
        <v>321</v>
      </c>
      <c r="D110" t="s">
        <v>322</v>
      </c>
      <c r="E110">
        <v>2.8758528767988301</v>
      </c>
      <c r="F110" t="s">
        <v>25</v>
      </c>
      <c r="G110">
        <v>1.7940559696228899</v>
      </c>
      <c r="H110">
        <f t="shared" si="4"/>
        <v>120</v>
      </c>
      <c r="I110">
        <v>1.9788144515357</v>
      </c>
      <c r="J110">
        <f t="shared" si="5"/>
        <v>112</v>
      </c>
      <c r="K110">
        <v>1.9080480749737101</v>
      </c>
      <c r="L110">
        <f t="shared" si="6"/>
        <v>119</v>
      </c>
      <c r="M110">
        <v>3.3939873999999999</v>
      </c>
      <c r="N110">
        <f t="shared" si="7"/>
        <v>110</v>
      </c>
      <c r="O110">
        <v>115.25</v>
      </c>
      <c r="P110">
        <v>24.9166666666667</v>
      </c>
    </row>
    <row r="111" spans="1:16">
      <c r="A111" t="s">
        <v>323</v>
      </c>
      <c r="B111" t="s">
        <v>17</v>
      </c>
      <c r="C111" t="s">
        <v>324</v>
      </c>
      <c r="D111" t="s">
        <v>325</v>
      </c>
      <c r="E111">
        <v>1.9335436177845899</v>
      </c>
      <c r="F111" t="s">
        <v>25</v>
      </c>
      <c r="G111">
        <v>2.6910839544343399</v>
      </c>
      <c r="H111">
        <f t="shared" si="4"/>
        <v>106</v>
      </c>
      <c r="I111">
        <v>1.5132127669129001</v>
      </c>
      <c r="J111">
        <f t="shared" si="5"/>
        <v>129</v>
      </c>
      <c r="K111">
        <v>2.4284171926481002</v>
      </c>
      <c r="L111">
        <f t="shared" si="6"/>
        <v>102</v>
      </c>
      <c r="M111">
        <v>1.9283973999999999</v>
      </c>
      <c r="N111">
        <f t="shared" si="7"/>
        <v>131</v>
      </c>
      <c r="O111">
        <v>117.75</v>
      </c>
      <c r="P111">
        <v>217.583333333333</v>
      </c>
    </row>
    <row r="112" spans="1:16">
      <c r="A112" t="s">
        <v>326</v>
      </c>
      <c r="B112" t="s">
        <v>17</v>
      </c>
      <c r="C112" t="s">
        <v>327</v>
      </c>
      <c r="D112" t="s">
        <v>328</v>
      </c>
      <c r="E112">
        <v>2.7983486546133198</v>
      </c>
      <c r="F112" t="s">
        <v>25</v>
      </c>
      <c r="G112">
        <v>2.6910839544343399</v>
      </c>
      <c r="H112">
        <f t="shared" si="4"/>
        <v>106</v>
      </c>
      <c r="I112">
        <v>1.6295913124021499</v>
      </c>
      <c r="J112">
        <f t="shared" si="5"/>
        <v>127</v>
      </c>
      <c r="K112">
        <v>1.56113532985745</v>
      </c>
      <c r="L112">
        <f t="shared" si="6"/>
        <v>125</v>
      </c>
      <c r="M112">
        <v>2.77688428</v>
      </c>
      <c r="N112">
        <f t="shared" si="7"/>
        <v>114</v>
      </c>
      <c r="O112">
        <v>118.25</v>
      </c>
      <c r="P112">
        <v>88.9166666666667</v>
      </c>
    </row>
    <row r="113" spans="1:16">
      <c r="A113" t="s">
        <v>329</v>
      </c>
      <c r="B113" t="s">
        <v>17</v>
      </c>
      <c r="C113" t="s">
        <v>330</v>
      </c>
      <c r="D113" t="s">
        <v>330</v>
      </c>
      <c r="E113">
        <v>0.17171279799957001</v>
      </c>
      <c r="F113" t="s">
        <v>25</v>
      </c>
      <c r="G113">
        <v>1.3889092177746101</v>
      </c>
      <c r="H113">
        <f t="shared" si="4"/>
        <v>135</v>
      </c>
      <c r="I113">
        <v>3.0672416789736499</v>
      </c>
      <c r="J113">
        <f t="shared" si="5"/>
        <v>95</v>
      </c>
      <c r="K113">
        <v>1.82450474436609</v>
      </c>
      <c r="L113">
        <f t="shared" si="6"/>
        <v>120</v>
      </c>
      <c r="M113">
        <v>2.2826490690445902</v>
      </c>
      <c r="N113">
        <f t="shared" si="7"/>
        <v>127</v>
      </c>
      <c r="O113">
        <v>119.25</v>
      </c>
      <c r="P113">
        <v>298.91666666666703</v>
      </c>
    </row>
    <row r="114" spans="1:16">
      <c r="A114" t="s">
        <v>331</v>
      </c>
      <c r="B114" t="s">
        <v>17</v>
      </c>
      <c r="C114" t="s">
        <v>332</v>
      </c>
      <c r="D114" t="s">
        <v>333</v>
      </c>
      <c r="E114">
        <v>2.8606879984135598</v>
      </c>
      <c r="F114" t="s">
        <v>25</v>
      </c>
      <c r="G114">
        <v>1.0719893149986699</v>
      </c>
      <c r="H114">
        <f t="shared" si="4"/>
        <v>149</v>
      </c>
      <c r="I114">
        <v>1.8939789216067899</v>
      </c>
      <c r="J114">
        <f t="shared" si="5"/>
        <v>115</v>
      </c>
      <c r="K114">
        <v>2.6859575281402401</v>
      </c>
      <c r="L114">
        <f t="shared" si="6"/>
        <v>99</v>
      </c>
      <c r="M114">
        <v>2.7248525695367798</v>
      </c>
      <c r="N114">
        <f t="shared" si="7"/>
        <v>115</v>
      </c>
      <c r="O114">
        <v>119.5</v>
      </c>
      <c r="P114">
        <v>443.66666666666703</v>
      </c>
    </row>
    <row r="115" spans="1:16">
      <c r="A115" t="s">
        <v>334</v>
      </c>
      <c r="B115" t="s">
        <v>17</v>
      </c>
      <c r="C115" t="s">
        <v>335</v>
      </c>
      <c r="D115" t="s">
        <v>336</v>
      </c>
      <c r="E115">
        <v>1.2589205540735799</v>
      </c>
      <c r="F115" t="s">
        <v>25</v>
      </c>
      <c r="G115">
        <v>1.0719893149986699</v>
      </c>
      <c r="H115">
        <f t="shared" si="4"/>
        <v>149</v>
      </c>
      <c r="I115">
        <v>1.8939789216067899</v>
      </c>
      <c r="J115">
        <f t="shared" si="5"/>
        <v>115</v>
      </c>
      <c r="K115">
        <v>2.6859575281402401</v>
      </c>
      <c r="L115">
        <f t="shared" si="6"/>
        <v>99</v>
      </c>
      <c r="M115">
        <v>2.7248525695367798</v>
      </c>
      <c r="N115">
        <f t="shared" si="7"/>
        <v>115</v>
      </c>
      <c r="O115">
        <v>120.5</v>
      </c>
      <c r="P115">
        <v>443.66666666666703</v>
      </c>
    </row>
    <row r="116" spans="1:16">
      <c r="A116" t="s">
        <v>337</v>
      </c>
      <c r="B116" t="s">
        <v>17</v>
      </c>
      <c r="C116" t="s">
        <v>338</v>
      </c>
      <c r="D116" t="s">
        <v>339</v>
      </c>
      <c r="E116">
        <v>0.44800211617378999</v>
      </c>
      <c r="F116" t="s">
        <v>25</v>
      </c>
      <c r="G116">
        <v>1.0719893149986699</v>
      </c>
      <c r="H116">
        <f t="shared" si="4"/>
        <v>149</v>
      </c>
      <c r="I116">
        <v>1.8939789216067899</v>
      </c>
      <c r="J116">
        <f t="shared" si="5"/>
        <v>115</v>
      </c>
      <c r="K116">
        <v>2.6859575281402401</v>
      </c>
      <c r="L116">
        <f t="shared" si="6"/>
        <v>99</v>
      </c>
      <c r="M116">
        <v>2.7248525695367798</v>
      </c>
      <c r="N116">
        <f t="shared" si="7"/>
        <v>115</v>
      </c>
      <c r="O116">
        <v>121.5</v>
      </c>
      <c r="P116">
        <v>443.66666666666703</v>
      </c>
    </row>
    <row r="117" spans="1:16">
      <c r="A117" t="s">
        <v>340</v>
      </c>
      <c r="B117" t="s">
        <v>17</v>
      </c>
      <c r="C117" t="s">
        <v>341</v>
      </c>
      <c r="D117" t="s">
        <v>342</v>
      </c>
      <c r="E117">
        <v>3.8713330836291102</v>
      </c>
      <c r="F117" t="s">
        <v>25</v>
      </c>
      <c r="G117">
        <v>1.20427967176877</v>
      </c>
      <c r="H117">
        <f t="shared" si="4"/>
        <v>142</v>
      </c>
      <c r="I117">
        <v>2.0020456714285202</v>
      </c>
      <c r="J117">
        <f t="shared" si="5"/>
        <v>111</v>
      </c>
      <c r="K117">
        <v>3.07633348197631</v>
      </c>
      <c r="L117">
        <f t="shared" si="6"/>
        <v>96</v>
      </c>
      <c r="M117">
        <v>1.6285817779692799</v>
      </c>
      <c r="N117">
        <f t="shared" si="7"/>
        <v>139</v>
      </c>
      <c r="O117">
        <v>122</v>
      </c>
      <c r="P117">
        <v>495.33333333333297</v>
      </c>
    </row>
    <row r="118" spans="1:16">
      <c r="A118" t="s">
        <v>343</v>
      </c>
      <c r="B118" t="s">
        <v>17</v>
      </c>
      <c r="C118" t="s">
        <v>344</v>
      </c>
      <c r="D118" t="s">
        <v>345</v>
      </c>
      <c r="E118">
        <v>1.9994641209671399E-2</v>
      </c>
      <c r="F118" t="s">
        <v>20</v>
      </c>
      <c r="G118">
        <v>4.0685936541615897</v>
      </c>
      <c r="H118">
        <f t="shared" si="4"/>
        <v>91</v>
      </c>
      <c r="I118">
        <v>2.0403760705651899</v>
      </c>
      <c r="J118">
        <f t="shared" si="5"/>
        <v>109</v>
      </c>
      <c r="K118">
        <v>0.34917034792576002</v>
      </c>
      <c r="L118">
        <f t="shared" si="6"/>
        <v>195</v>
      </c>
      <c r="M118">
        <v>4.06803327673728</v>
      </c>
      <c r="N118">
        <f t="shared" si="7"/>
        <v>99</v>
      </c>
      <c r="O118">
        <v>123.5</v>
      </c>
      <c r="P118">
        <v>2326.3333333333298</v>
      </c>
    </row>
    <row r="119" spans="1:16">
      <c r="A119" t="s">
        <v>346</v>
      </c>
      <c r="B119" t="s">
        <v>17</v>
      </c>
      <c r="C119" t="s">
        <v>347</v>
      </c>
      <c r="D119" t="s">
        <v>348</v>
      </c>
      <c r="E119">
        <v>2.4894909817989199</v>
      </c>
      <c r="F119" t="s">
        <v>25</v>
      </c>
      <c r="G119">
        <v>2.5500584343955501</v>
      </c>
      <c r="H119">
        <f t="shared" si="4"/>
        <v>110</v>
      </c>
      <c r="I119">
        <v>1.50369206861517</v>
      </c>
      <c r="J119">
        <f t="shared" si="5"/>
        <v>133</v>
      </c>
      <c r="K119">
        <v>1.96485196432309</v>
      </c>
      <c r="L119">
        <f t="shared" si="6"/>
        <v>114</v>
      </c>
      <c r="M119">
        <v>1.58792254139584</v>
      </c>
      <c r="N119">
        <f t="shared" si="7"/>
        <v>142</v>
      </c>
      <c r="O119">
        <v>125</v>
      </c>
      <c r="P119">
        <v>244.666666666667</v>
      </c>
    </row>
    <row r="120" spans="1:16">
      <c r="A120" t="s">
        <v>349</v>
      </c>
      <c r="B120" t="s">
        <v>30</v>
      </c>
      <c r="C120" t="s">
        <v>350</v>
      </c>
      <c r="D120" t="s">
        <v>351</v>
      </c>
      <c r="E120">
        <v>2.5063948278671102</v>
      </c>
      <c r="F120" t="s">
        <v>20</v>
      </c>
      <c r="G120">
        <v>2.5500584343955501</v>
      </c>
      <c r="H120">
        <f t="shared" si="4"/>
        <v>110</v>
      </c>
      <c r="I120">
        <v>1.50369206861517</v>
      </c>
      <c r="J120">
        <f t="shared" si="5"/>
        <v>133</v>
      </c>
      <c r="K120">
        <v>1.96485196432309</v>
      </c>
      <c r="L120">
        <f t="shared" si="6"/>
        <v>114</v>
      </c>
      <c r="M120">
        <v>1.58792254139584</v>
      </c>
      <c r="N120">
        <f t="shared" si="7"/>
        <v>142</v>
      </c>
      <c r="O120">
        <v>125.5</v>
      </c>
      <c r="P120">
        <v>221.666666666667</v>
      </c>
    </row>
    <row r="121" spans="1:16">
      <c r="A121" t="s">
        <v>352</v>
      </c>
      <c r="B121" t="s">
        <v>17</v>
      </c>
      <c r="C121" t="s">
        <v>353</v>
      </c>
      <c r="D121" t="s">
        <v>354</v>
      </c>
      <c r="E121">
        <v>3.0180283336717002</v>
      </c>
      <c r="F121" t="s">
        <v>25</v>
      </c>
      <c r="G121">
        <v>0.81340602603595002</v>
      </c>
      <c r="H121">
        <f t="shared" si="4"/>
        <v>158</v>
      </c>
      <c r="I121">
        <v>1.892970546987</v>
      </c>
      <c r="J121">
        <f t="shared" si="5"/>
        <v>118</v>
      </c>
      <c r="K121">
        <v>2.33678718021448</v>
      </c>
      <c r="L121">
        <f t="shared" si="6"/>
        <v>106</v>
      </c>
      <c r="M121">
        <v>2.4118125117591198</v>
      </c>
      <c r="N121">
        <f t="shared" si="7"/>
        <v>125</v>
      </c>
      <c r="O121">
        <v>126.75</v>
      </c>
      <c r="P121">
        <v>495.58333333333297</v>
      </c>
    </row>
    <row r="122" spans="1:16">
      <c r="A122" t="s">
        <v>355</v>
      </c>
      <c r="B122" t="s">
        <v>17</v>
      </c>
      <c r="C122" t="s">
        <v>356</v>
      </c>
      <c r="D122" t="s">
        <v>357</v>
      </c>
      <c r="E122">
        <v>3.4447932197318099</v>
      </c>
      <c r="F122" t="s">
        <v>20</v>
      </c>
      <c r="G122">
        <v>1.46783726979132</v>
      </c>
      <c r="H122">
        <f t="shared" si="4"/>
        <v>133</v>
      </c>
      <c r="I122">
        <v>2.80618596153005</v>
      </c>
      <c r="J122">
        <f t="shared" si="5"/>
        <v>96</v>
      </c>
      <c r="K122">
        <v>1.2007867276595701</v>
      </c>
      <c r="L122">
        <f t="shared" si="6"/>
        <v>142</v>
      </c>
      <c r="M122">
        <v>1.7568577221388</v>
      </c>
      <c r="N122">
        <f t="shared" si="7"/>
        <v>136</v>
      </c>
      <c r="O122">
        <v>126.75</v>
      </c>
      <c r="P122">
        <v>434.25</v>
      </c>
    </row>
    <row r="123" spans="1:16">
      <c r="A123" t="s">
        <v>358</v>
      </c>
      <c r="B123" t="s">
        <v>17</v>
      </c>
      <c r="C123" t="s">
        <v>359</v>
      </c>
      <c r="D123" t="s">
        <v>360</v>
      </c>
      <c r="E123">
        <v>1.5606034397224999</v>
      </c>
      <c r="F123" t="s">
        <v>25</v>
      </c>
      <c r="G123">
        <v>0.81340602603595002</v>
      </c>
      <c r="H123">
        <f t="shared" si="4"/>
        <v>158</v>
      </c>
      <c r="I123">
        <v>1.892970546987</v>
      </c>
      <c r="J123">
        <f t="shared" si="5"/>
        <v>118</v>
      </c>
      <c r="K123">
        <v>2.33678718021448</v>
      </c>
      <c r="L123">
        <f t="shared" si="6"/>
        <v>106</v>
      </c>
      <c r="M123">
        <v>2.4118125117591198</v>
      </c>
      <c r="N123">
        <f t="shared" si="7"/>
        <v>125</v>
      </c>
      <c r="O123">
        <v>127.75</v>
      </c>
      <c r="P123">
        <v>495.58333333333297</v>
      </c>
    </row>
    <row r="124" spans="1:16">
      <c r="A124" t="s">
        <v>361</v>
      </c>
      <c r="B124" t="s">
        <v>17</v>
      </c>
      <c r="C124" t="s">
        <v>362</v>
      </c>
      <c r="D124" t="s">
        <v>363</v>
      </c>
      <c r="E124">
        <v>7.5198619154536794E-2</v>
      </c>
      <c r="F124" t="s">
        <v>20</v>
      </c>
      <c r="G124">
        <v>1.46783726979132</v>
      </c>
      <c r="H124">
        <f t="shared" si="4"/>
        <v>133</v>
      </c>
      <c r="I124">
        <v>2.80618596153005</v>
      </c>
      <c r="J124">
        <f t="shared" si="5"/>
        <v>96</v>
      </c>
      <c r="K124">
        <v>1.2007867276595701</v>
      </c>
      <c r="L124">
        <f t="shared" si="6"/>
        <v>142</v>
      </c>
      <c r="M124">
        <v>1.7568577221388</v>
      </c>
      <c r="N124">
        <f t="shared" si="7"/>
        <v>136</v>
      </c>
      <c r="O124">
        <v>127.75</v>
      </c>
      <c r="P124">
        <v>434.25</v>
      </c>
    </row>
    <row r="125" spans="1:16">
      <c r="A125" t="s">
        <v>364</v>
      </c>
      <c r="B125" t="s">
        <v>17</v>
      </c>
      <c r="C125" t="s">
        <v>365</v>
      </c>
      <c r="D125" t="s">
        <v>366</v>
      </c>
      <c r="E125">
        <v>1.8416258095673901</v>
      </c>
      <c r="F125" t="s">
        <v>25</v>
      </c>
      <c r="G125">
        <v>2.73380655905589</v>
      </c>
      <c r="H125">
        <f t="shared" si="4"/>
        <v>104</v>
      </c>
      <c r="I125">
        <v>1.0476110822901099</v>
      </c>
      <c r="J125">
        <f t="shared" si="5"/>
        <v>146</v>
      </c>
      <c r="K125">
        <v>1.38767895729932</v>
      </c>
      <c r="L125">
        <f t="shared" si="6"/>
        <v>129</v>
      </c>
      <c r="M125">
        <v>1.85126948</v>
      </c>
      <c r="N125">
        <f t="shared" si="7"/>
        <v>133</v>
      </c>
      <c r="O125">
        <v>128.25</v>
      </c>
      <c r="P125">
        <v>309.58333333333297</v>
      </c>
    </row>
    <row r="126" spans="1:16">
      <c r="A126" t="s">
        <v>367</v>
      </c>
      <c r="B126" t="s">
        <v>30</v>
      </c>
      <c r="C126" t="s">
        <v>368</v>
      </c>
      <c r="D126" t="s">
        <v>369</v>
      </c>
      <c r="E126">
        <v>2.97969361131643E-2</v>
      </c>
      <c r="F126" t="s">
        <v>20</v>
      </c>
      <c r="G126">
        <v>0.105446449661979</v>
      </c>
      <c r="H126">
        <f t="shared" si="4"/>
        <v>210</v>
      </c>
      <c r="I126">
        <v>4.1900978600260697</v>
      </c>
      <c r="J126">
        <f t="shared" si="5"/>
        <v>78</v>
      </c>
      <c r="K126">
        <v>0.61722891706927197</v>
      </c>
      <c r="L126">
        <f t="shared" si="6"/>
        <v>178</v>
      </c>
      <c r="M126">
        <v>9.8507234748724404</v>
      </c>
      <c r="N126">
        <f t="shared" si="7"/>
        <v>47</v>
      </c>
      <c r="O126">
        <v>128.25</v>
      </c>
      <c r="P126">
        <v>6094.9166666666697</v>
      </c>
    </row>
    <row r="127" spans="1:16">
      <c r="A127" t="s">
        <v>370</v>
      </c>
      <c r="B127" t="s">
        <v>93</v>
      </c>
      <c r="C127" t="s">
        <v>371</v>
      </c>
      <c r="D127" t="s">
        <v>372</v>
      </c>
      <c r="E127">
        <v>2.8522804142943899E-2</v>
      </c>
      <c r="F127" t="s">
        <v>20</v>
      </c>
      <c r="G127">
        <v>1.94327865037713</v>
      </c>
      <c r="H127">
        <f t="shared" si="4"/>
        <v>117</v>
      </c>
      <c r="I127">
        <v>1.4080109057191299</v>
      </c>
      <c r="J127">
        <f t="shared" si="5"/>
        <v>135</v>
      </c>
      <c r="K127">
        <v>1.11996872413702</v>
      </c>
      <c r="L127">
        <f t="shared" si="6"/>
        <v>144</v>
      </c>
      <c r="M127">
        <v>2.69082804918374</v>
      </c>
      <c r="N127">
        <f t="shared" si="7"/>
        <v>119</v>
      </c>
      <c r="O127">
        <v>128.75</v>
      </c>
      <c r="P127">
        <v>168.25</v>
      </c>
    </row>
    <row r="128" spans="1:16">
      <c r="A128" t="s">
        <v>373</v>
      </c>
      <c r="B128" t="s">
        <v>93</v>
      </c>
      <c r="C128" t="s">
        <v>374</v>
      </c>
      <c r="D128" t="s">
        <v>375</v>
      </c>
      <c r="E128">
        <v>0.465653206870902</v>
      </c>
      <c r="F128" t="s">
        <v>20</v>
      </c>
      <c r="G128">
        <v>1.94327865037713</v>
      </c>
      <c r="H128">
        <f t="shared" si="4"/>
        <v>117</v>
      </c>
      <c r="I128">
        <v>1.4080109057191299</v>
      </c>
      <c r="J128">
        <f t="shared" si="5"/>
        <v>135</v>
      </c>
      <c r="K128">
        <v>1.11996872413702</v>
      </c>
      <c r="L128">
        <f t="shared" si="6"/>
        <v>144</v>
      </c>
      <c r="M128">
        <v>2.69082804918374</v>
      </c>
      <c r="N128">
        <f t="shared" si="7"/>
        <v>119</v>
      </c>
      <c r="O128">
        <v>129.75</v>
      </c>
      <c r="P128">
        <v>168.25</v>
      </c>
    </row>
    <row r="129" spans="1:16">
      <c r="A129" t="s">
        <v>376</v>
      </c>
      <c r="B129" t="s">
        <v>17</v>
      </c>
      <c r="C129" t="s">
        <v>377</v>
      </c>
      <c r="D129" t="s">
        <v>378</v>
      </c>
      <c r="E129">
        <v>2.3758316378213098</v>
      </c>
      <c r="F129" t="s">
        <v>25</v>
      </c>
      <c r="G129">
        <v>1.19602753226585</v>
      </c>
      <c r="H129">
        <f t="shared" si="4"/>
        <v>143</v>
      </c>
      <c r="I129">
        <v>1.39680505386839</v>
      </c>
      <c r="J129">
        <f t="shared" si="5"/>
        <v>137</v>
      </c>
      <c r="K129">
        <v>1.7345917024155799</v>
      </c>
      <c r="L129">
        <f t="shared" si="6"/>
        <v>122</v>
      </c>
      <c r="M129">
        <v>2.6997563599999999</v>
      </c>
      <c r="N129">
        <f t="shared" si="7"/>
        <v>118</v>
      </c>
      <c r="O129">
        <v>130</v>
      </c>
      <c r="P129">
        <v>142</v>
      </c>
    </row>
    <row r="130" spans="1:16">
      <c r="A130" t="s">
        <v>379</v>
      </c>
      <c r="B130" t="s">
        <v>17</v>
      </c>
      <c r="C130" t="s">
        <v>380</v>
      </c>
      <c r="D130" t="s">
        <v>380</v>
      </c>
      <c r="E130">
        <v>2.0912344454283098</v>
      </c>
      <c r="F130" t="s">
        <v>25</v>
      </c>
      <c r="G130">
        <v>0.55530583273548895</v>
      </c>
      <c r="H130">
        <f t="shared" si="4"/>
        <v>175</v>
      </c>
      <c r="I130">
        <v>1.74599902544667</v>
      </c>
      <c r="J130">
        <f t="shared" si="5"/>
        <v>124</v>
      </c>
      <c r="K130">
        <v>2.77535791459864</v>
      </c>
      <c r="L130">
        <f t="shared" si="6"/>
        <v>98</v>
      </c>
      <c r="M130">
        <v>2.5454606399999999</v>
      </c>
      <c r="N130">
        <f t="shared" si="7"/>
        <v>123</v>
      </c>
      <c r="O130">
        <v>130</v>
      </c>
      <c r="P130">
        <v>1044.6666666666699</v>
      </c>
    </row>
    <row r="131" spans="1:16">
      <c r="A131" t="s">
        <v>381</v>
      </c>
      <c r="B131" t="s">
        <v>17</v>
      </c>
      <c r="C131" t="s">
        <v>382</v>
      </c>
      <c r="D131" t="s">
        <v>383</v>
      </c>
      <c r="E131">
        <v>2.4317475291373598</v>
      </c>
      <c r="F131" t="s">
        <v>20</v>
      </c>
      <c r="G131">
        <v>4.0685936541615897</v>
      </c>
      <c r="H131">
        <f t="shared" ref="H131:H194" si="8">_xlfn.RANK.EQ(G131,G$2:G$263)</f>
        <v>91</v>
      </c>
      <c r="I131">
        <v>2.0403760705651899</v>
      </c>
      <c r="J131">
        <f t="shared" ref="J131:J194" si="9">_xlfn.RANK.EQ(I131,I$2:I$263)</f>
        <v>109</v>
      </c>
      <c r="K131">
        <v>1.5727668739460701E-2</v>
      </c>
      <c r="L131">
        <f t="shared" ref="L131:L194" si="10">_xlfn.RANK.EQ(K131,K$2:K$263)</f>
        <v>229</v>
      </c>
      <c r="M131">
        <v>4.06803327673728</v>
      </c>
      <c r="N131">
        <f t="shared" ref="N131:N194" si="11">_xlfn.RANK.EQ(M131,M$2:M$263)</f>
        <v>99</v>
      </c>
      <c r="O131">
        <v>132.75</v>
      </c>
      <c r="P131">
        <v>4171.5833333333303</v>
      </c>
    </row>
    <row r="132" spans="1:16">
      <c r="A132" t="s">
        <v>384</v>
      </c>
      <c r="B132" t="s">
        <v>17</v>
      </c>
      <c r="C132" t="s">
        <v>385</v>
      </c>
      <c r="D132" t="s">
        <v>385</v>
      </c>
      <c r="E132">
        <v>0.342091777103536</v>
      </c>
      <c r="F132" t="s">
        <v>25</v>
      </c>
      <c r="G132">
        <v>3.7748037742638099</v>
      </c>
      <c r="H132">
        <f t="shared" si="8"/>
        <v>94</v>
      </c>
      <c r="I132">
        <v>1.82709718393478</v>
      </c>
      <c r="J132">
        <f t="shared" si="9"/>
        <v>121</v>
      </c>
      <c r="K132">
        <v>0.129787217890384</v>
      </c>
      <c r="L132">
        <f t="shared" si="10"/>
        <v>210</v>
      </c>
      <c r="M132">
        <v>3.6881742509425299</v>
      </c>
      <c r="N132">
        <f t="shared" si="11"/>
        <v>106</v>
      </c>
      <c r="O132">
        <v>133</v>
      </c>
      <c r="P132">
        <v>2826</v>
      </c>
    </row>
    <row r="133" spans="1:16">
      <c r="A133" t="s">
        <v>386</v>
      </c>
      <c r="B133" t="s">
        <v>17</v>
      </c>
      <c r="C133" t="s">
        <v>387</v>
      </c>
      <c r="D133" t="s">
        <v>388</v>
      </c>
      <c r="E133">
        <v>6.2002270038564404</v>
      </c>
      <c r="F133" t="s">
        <v>25</v>
      </c>
      <c r="G133">
        <v>2.5629454830179199</v>
      </c>
      <c r="H133">
        <f t="shared" si="8"/>
        <v>109</v>
      </c>
      <c r="I133">
        <v>1.39680505386839</v>
      </c>
      <c r="J133">
        <f t="shared" si="9"/>
        <v>137</v>
      </c>
      <c r="K133">
        <v>0.69382549023251805</v>
      </c>
      <c r="L133">
        <f t="shared" si="10"/>
        <v>167</v>
      </c>
      <c r="M133">
        <v>2.5454606399999999</v>
      </c>
      <c r="N133">
        <f t="shared" si="11"/>
        <v>123</v>
      </c>
      <c r="O133">
        <v>134.5</v>
      </c>
      <c r="P133">
        <v>609.66666666666697</v>
      </c>
    </row>
    <row r="134" spans="1:16">
      <c r="A134" t="s">
        <v>389</v>
      </c>
      <c r="B134" t="s">
        <v>17</v>
      </c>
      <c r="C134" t="s">
        <v>390</v>
      </c>
      <c r="D134" t="s">
        <v>390</v>
      </c>
      <c r="E134">
        <v>0.65648002881737</v>
      </c>
      <c r="F134" t="s">
        <v>25</v>
      </c>
      <c r="G134">
        <v>1.58047228896336</v>
      </c>
      <c r="H134">
        <f t="shared" si="8"/>
        <v>131</v>
      </c>
      <c r="I134">
        <v>1.28039734082387</v>
      </c>
      <c r="J134">
        <f t="shared" si="9"/>
        <v>140</v>
      </c>
      <c r="K134">
        <v>1.38767895729932</v>
      </c>
      <c r="L134">
        <f t="shared" si="10"/>
        <v>129</v>
      </c>
      <c r="M134">
        <v>1.61984584</v>
      </c>
      <c r="N134">
        <f t="shared" si="11"/>
        <v>140</v>
      </c>
      <c r="O134">
        <v>135.25</v>
      </c>
      <c r="P134">
        <v>37.5833333333333</v>
      </c>
    </row>
    <row r="135" spans="1:16">
      <c r="A135" t="s">
        <v>391</v>
      </c>
      <c r="B135" t="s">
        <v>17</v>
      </c>
      <c r="C135" t="s">
        <v>392</v>
      </c>
      <c r="D135" t="s">
        <v>393</v>
      </c>
      <c r="E135">
        <v>0.72445711063126195</v>
      </c>
      <c r="F135" t="s">
        <v>25</v>
      </c>
      <c r="G135">
        <v>0.76888951339501999</v>
      </c>
      <c r="H135">
        <f t="shared" si="8"/>
        <v>160</v>
      </c>
      <c r="I135">
        <v>2.2116007100694599</v>
      </c>
      <c r="J135">
        <f t="shared" si="9"/>
        <v>105</v>
      </c>
      <c r="K135">
        <v>1.21422258474119</v>
      </c>
      <c r="L135">
        <f t="shared" si="10"/>
        <v>133</v>
      </c>
      <c r="M135">
        <v>1.5427179200000001</v>
      </c>
      <c r="N135">
        <f t="shared" si="11"/>
        <v>147</v>
      </c>
      <c r="O135">
        <v>136.25</v>
      </c>
      <c r="P135">
        <v>555.58333333333303</v>
      </c>
    </row>
    <row r="136" spans="1:16">
      <c r="A136" t="s">
        <v>394</v>
      </c>
      <c r="B136" t="s">
        <v>17</v>
      </c>
      <c r="C136" t="s">
        <v>395</v>
      </c>
      <c r="D136" t="s">
        <v>396</v>
      </c>
      <c r="E136">
        <v>0.161860637983892</v>
      </c>
      <c r="F136" t="s">
        <v>20</v>
      </c>
      <c r="G136">
        <v>0.51566365697193595</v>
      </c>
      <c r="H136">
        <f t="shared" si="8"/>
        <v>178</v>
      </c>
      <c r="I136">
        <v>1.92842480897004</v>
      </c>
      <c r="J136">
        <f t="shared" si="9"/>
        <v>113</v>
      </c>
      <c r="K136">
        <v>1.23811921324431</v>
      </c>
      <c r="L136">
        <f t="shared" si="10"/>
        <v>131</v>
      </c>
      <c r="M136">
        <v>1.94227794713225</v>
      </c>
      <c r="N136">
        <f t="shared" si="11"/>
        <v>129</v>
      </c>
      <c r="O136">
        <v>137.75</v>
      </c>
      <c r="P136">
        <v>784.91666666666697</v>
      </c>
    </row>
    <row r="137" spans="1:16">
      <c r="A137" t="s">
        <v>397</v>
      </c>
      <c r="B137" t="s">
        <v>17</v>
      </c>
      <c r="C137" t="s">
        <v>398</v>
      </c>
      <c r="D137" t="s">
        <v>399</v>
      </c>
      <c r="E137" s="1">
        <v>1.87100175036483E-6</v>
      </c>
      <c r="F137" t="s">
        <v>25</v>
      </c>
      <c r="G137">
        <v>1.8626873283243901</v>
      </c>
      <c r="H137">
        <f t="shared" si="8"/>
        <v>119</v>
      </c>
      <c r="I137">
        <v>1.0293729733608701</v>
      </c>
      <c r="J137">
        <f t="shared" si="9"/>
        <v>149</v>
      </c>
      <c r="K137">
        <v>1.08370595438229</v>
      </c>
      <c r="L137">
        <f t="shared" si="10"/>
        <v>146</v>
      </c>
      <c r="M137">
        <v>1.6298162169853401</v>
      </c>
      <c r="N137">
        <f t="shared" si="11"/>
        <v>138</v>
      </c>
      <c r="O137">
        <v>138</v>
      </c>
      <c r="P137">
        <v>182</v>
      </c>
    </row>
    <row r="138" spans="1:16">
      <c r="A138" t="s">
        <v>400</v>
      </c>
      <c r="B138" t="s">
        <v>17</v>
      </c>
      <c r="C138" t="s">
        <v>401</v>
      </c>
      <c r="D138" t="s">
        <v>402</v>
      </c>
      <c r="E138">
        <v>1.03794075689314</v>
      </c>
      <c r="F138" t="s">
        <v>20</v>
      </c>
      <c r="G138">
        <v>0.51566365697193595</v>
      </c>
      <c r="H138">
        <f t="shared" si="8"/>
        <v>178</v>
      </c>
      <c r="I138">
        <v>1.92842480897004</v>
      </c>
      <c r="J138">
        <f t="shared" si="9"/>
        <v>113</v>
      </c>
      <c r="K138">
        <v>1.23811921324431</v>
      </c>
      <c r="L138">
        <f t="shared" si="10"/>
        <v>131</v>
      </c>
      <c r="M138">
        <v>1.94227794713225</v>
      </c>
      <c r="N138">
        <f t="shared" si="11"/>
        <v>129</v>
      </c>
      <c r="O138">
        <v>138.75</v>
      </c>
      <c r="P138">
        <v>784.91666666666697</v>
      </c>
    </row>
    <row r="139" spans="1:16">
      <c r="A139" t="s">
        <v>403</v>
      </c>
      <c r="B139" t="s">
        <v>30</v>
      </c>
      <c r="C139" t="s">
        <v>404</v>
      </c>
      <c r="D139" t="s">
        <v>404</v>
      </c>
      <c r="E139">
        <v>2.69897156124978E-2</v>
      </c>
      <c r="F139" t="s">
        <v>25</v>
      </c>
      <c r="G139">
        <v>2.6177042562702502</v>
      </c>
      <c r="H139">
        <f t="shared" si="8"/>
        <v>108</v>
      </c>
      <c r="I139">
        <v>0.57348319983641904</v>
      </c>
      <c r="J139">
        <f t="shared" si="9"/>
        <v>194</v>
      </c>
      <c r="K139">
        <v>0.93706689897601003</v>
      </c>
      <c r="L139">
        <f t="shared" si="10"/>
        <v>153</v>
      </c>
      <c r="M139">
        <v>3.6635310599644799</v>
      </c>
      <c r="N139">
        <f t="shared" si="11"/>
        <v>107</v>
      </c>
      <c r="O139">
        <v>140.5</v>
      </c>
      <c r="P139">
        <v>1732.3333333333301</v>
      </c>
    </row>
    <row r="140" spans="1:16">
      <c r="A140" t="s">
        <v>405</v>
      </c>
      <c r="B140" t="s">
        <v>17</v>
      </c>
      <c r="C140" t="s">
        <v>406</v>
      </c>
      <c r="D140" t="s">
        <v>407</v>
      </c>
      <c r="E140">
        <v>1.97352233172074</v>
      </c>
      <c r="F140" t="s">
        <v>25</v>
      </c>
      <c r="G140">
        <v>0.98247319405455202</v>
      </c>
      <c r="H140">
        <f t="shared" si="8"/>
        <v>155</v>
      </c>
      <c r="I140">
        <v>1.0476110822901099</v>
      </c>
      <c r="J140">
        <f t="shared" si="9"/>
        <v>146</v>
      </c>
      <c r="K140">
        <v>1.56113532985745</v>
      </c>
      <c r="L140">
        <f t="shared" si="10"/>
        <v>125</v>
      </c>
      <c r="M140">
        <v>1.0027826</v>
      </c>
      <c r="N140">
        <f t="shared" si="11"/>
        <v>154</v>
      </c>
      <c r="O140">
        <v>145.75</v>
      </c>
      <c r="P140">
        <v>187.583333333333</v>
      </c>
    </row>
    <row r="141" spans="1:16">
      <c r="A141" t="s">
        <v>408</v>
      </c>
      <c r="B141" t="s">
        <v>17</v>
      </c>
      <c r="C141" t="s">
        <v>409</v>
      </c>
      <c r="D141" t="s">
        <v>410</v>
      </c>
      <c r="E141">
        <v>2.4228347144235198</v>
      </c>
      <c r="F141" t="s">
        <v>48</v>
      </c>
      <c r="G141">
        <v>1.32419534613051</v>
      </c>
      <c r="H141">
        <f t="shared" si="8"/>
        <v>137</v>
      </c>
      <c r="I141">
        <v>1.5132127669129001</v>
      </c>
      <c r="J141">
        <f t="shared" si="9"/>
        <v>129</v>
      </c>
      <c r="K141">
        <v>0.69382549023251805</v>
      </c>
      <c r="L141">
        <f t="shared" si="10"/>
        <v>167</v>
      </c>
      <c r="M141">
        <v>1.0027826</v>
      </c>
      <c r="N141">
        <f t="shared" si="11"/>
        <v>154</v>
      </c>
      <c r="O141">
        <v>147</v>
      </c>
      <c r="P141">
        <v>304.66666666666703</v>
      </c>
    </row>
    <row r="142" spans="1:16">
      <c r="A142" t="s">
        <v>411</v>
      </c>
      <c r="B142" t="s">
        <v>17</v>
      </c>
      <c r="C142" t="s">
        <v>412</v>
      </c>
      <c r="D142" t="s">
        <v>413</v>
      </c>
      <c r="E142">
        <v>4.4132123740602198</v>
      </c>
      <c r="F142" t="s">
        <v>25</v>
      </c>
      <c r="G142">
        <v>0.76888951339501999</v>
      </c>
      <c r="H142">
        <f t="shared" si="8"/>
        <v>160</v>
      </c>
      <c r="I142">
        <v>1.74599902544667</v>
      </c>
      <c r="J142">
        <f t="shared" si="9"/>
        <v>124</v>
      </c>
      <c r="K142">
        <v>0.86730983962493102</v>
      </c>
      <c r="L142">
        <f t="shared" si="10"/>
        <v>162</v>
      </c>
      <c r="M142">
        <v>1.61984584</v>
      </c>
      <c r="N142">
        <f t="shared" si="11"/>
        <v>140</v>
      </c>
      <c r="O142">
        <v>147.25</v>
      </c>
      <c r="P142">
        <v>313.58333333333297</v>
      </c>
    </row>
    <row r="143" spans="1:16">
      <c r="A143" t="s">
        <v>414</v>
      </c>
      <c r="B143" t="s">
        <v>17</v>
      </c>
      <c r="C143" t="s">
        <v>415</v>
      </c>
      <c r="D143" t="s">
        <v>416</v>
      </c>
      <c r="E143">
        <v>0.997792139391526</v>
      </c>
      <c r="F143" t="s">
        <v>25</v>
      </c>
      <c r="G143">
        <v>0.58839022296702004</v>
      </c>
      <c r="H143">
        <f t="shared" si="8"/>
        <v>173</v>
      </c>
      <c r="I143">
        <v>1.3607009400276</v>
      </c>
      <c r="J143">
        <f t="shared" si="9"/>
        <v>139</v>
      </c>
      <c r="K143">
        <v>2.1735346748465498</v>
      </c>
      <c r="L143">
        <f t="shared" si="10"/>
        <v>108</v>
      </c>
      <c r="M143">
        <v>0.87302376439802498</v>
      </c>
      <c r="N143">
        <f t="shared" si="11"/>
        <v>171</v>
      </c>
      <c r="O143">
        <v>147.75</v>
      </c>
      <c r="P143">
        <v>944.91666666666697</v>
      </c>
    </row>
    <row r="144" spans="1:16">
      <c r="A144" t="s">
        <v>417</v>
      </c>
      <c r="B144" t="s">
        <v>93</v>
      </c>
      <c r="C144" t="s">
        <v>418</v>
      </c>
      <c r="D144" t="s">
        <v>418</v>
      </c>
      <c r="E144">
        <v>0.31333629530780699</v>
      </c>
      <c r="F144" t="s">
        <v>20</v>
      </c>
      <c r="G144">
        <v>1.28118794824886</v>
      </c>
      <c r="H144">
        <f t="shared" si="8"/>
        <v>139</v>
      </c>
      <c r="I144">
        <v>0.93033915300471803</v>
      </c>
      <c r="J144">
        <f t="shared" si="9"/>
        <v>156</v>
      </c>
      <c r="K144">
        <v>0.72870926689903803</v>
      </c>
      <c r="L144">
        <f t="shared" si="10"/>
        <v>163</v>
      </c>
      <c r="M144">
        <v>1.7626522796956201</v>
      </c>
      <c r="N144">
        <f t="shared" si="11"/>
        <v>134</v>
      </c>
      <c r="O144">
        <v>148</v>
      </c>
      <c r="P144">
        <v>188.666666666667</v>
      </c>
    </row>
    <row r="145" spans="1:16">
      <c r="A145" t="s">
        <v>419</v>
      </c>
      <c r="B145" t="s">
        <v>17</v>
      </c>
      <c r="C145" t="s">
        <v>420</v>
      </c>
      <c r="D145" t="s">
        <v>421</v>
      </c>
      <c r="E145">
        <v>1.3791536646846401</v>
      </c>
      <c r="F145" t="s">
        <v>48</v>
      </c>
      <c r="G145">
        <v>1.32419534613051</v>
      </c>
      <c r="H145">
        <f t="shared" si="8"/>
        <v>137</v>
      </c>
      <c r="I145">
        <v>1.5132127669129001</v>
      </c>
      <c r="J145">
        <f t="shared" si="9"/>
        <v>129</v>
      </c>
      <c r="K145">
        <v>0.69382549023251805</v>
      </c>
      <c r="L145">
        <f t="shared" si="10"/>
        <v>167</v>
      </c>
      <c r="M145">
        <v>1.0027826</v>
      </c>
      <c r="N145">
        <f t="shared" si="11"/>
        <v>154</v>
      </c>
      <c r="O145">
        <v>148.75</v>
      </c>
      <c r="P145">
        <v>311.58333333333297</v>
      </c>
    </row>
    <row r="146" spans="1:16">
      <c r="A146" t="s">
        <v>422</v>
      </c>
      <c r="B146" t="s">
        <v>93</v>
      </c>
      <c r="C146" t="s">
        <v>423</v>
      </c>
      <c r="D146" t="s">
        <v>423</v>
      </c>
      <c r="E146">
        <v>0.30407733931942799</v>
      </c>
      <c r="F146" t="s">
        <v>20</v>
      </c>
      <c r="G146">
        <v>1.28118794824886</v>
      </c>
      <c r="H146">
        <f t="shared" si="8"/>
        <v>139</v>
      </c>
      <c r="I146">
        <v>0.93033915300471803</v>
      </c>
      <c r="J146">
        <f t="shared" si="9"/>
        <v>156</v>
      </c>
      <c r="K146">
        <v>0.72870926689903803</v>
      </c>
      <c r="L146">
        <f t="shared" si="10"/>
        <v>163</v>
      </c>
      <c r="M146">
        <v>1.7626522796956201</v>
      </c>
      <c r="N146">
        <f t="shared" si="11"/>
        <v>134</v>
      </c>
      <c r="O146">
        <v>149</v>
      </c>
      <c r="P146">
        <v>188.666666666667</v>
      </c>
    </row>
    <row r="147" spans="1:16">
      <c r="A147" t="s">
        <v>424</v>
      </c>
      <c r="B147" t="s">
        <v>17</v>
      </c>
      <c r="C147" t="s">
        <v>425</v>
      </c>
      <c r="D147" t="s">
        <v>426</v>
      </c>
      <c r="E147">
        <v>2.0433137759917899</v>
      </c>
      <c r="F147" t="s">
        <v>20</v>
      </c>
      <c r="G147">
        <v>1.0251664562278699</v>
      </c>
      <c r="H147">
        <f t="shared" si="8"/>
        <v>152</v>
      </c>
      <c r="I147">
        <v>1.28039734082387</v>
      </c>
      <c r="J147">
        <f t="shared" si="9"/>
        <v>140</v>
      </c>
      <c r="K147">
        <v>0.34691274511625902</v>
      </c>
      <c r="L147">
        <f t="shared" si="10"/>
        <v>197</v>
      </c>
      <c r="M147">
        <v>2.6226284400000002</v>
      </c>
      <c r="N147">
        <f t="shared" si="11"/>
        <v>121</v>
      </c>
      <c r="O147">
        <v>152.5</v>
      </c>
      <c r="P147">
        <v>1043</v>
      </c>
    </row>
    <row r="148" spans="1:16">
      <c r="A148" t="s">
        <v>427</v>
      </c>
      <c r="B148" t="s">
        <v>17</v>
      </c>
      <c r="C148" t="s">
        <v>428</v>
      </c>
      <c r="D148" t="s">
        <v>429</v>
      </c>
      <c r="E148">
        <v>5.9052976685409903E-2</v>
      </c>
      <c r="F148" t="s">
        <v>25</v>
      </c>
      <c r="G148">
        <v>0.71921643295072502</v>
      </c>
      <c r="H148">
        <f t="shared" si="8"/>
        <v>162</v>
      </c>
      <c r="I148">
        <v>1.1926231666940299</v>
      </c>
      <c r="J148">
        <f t="shared" si="9"/>
        <v>143</v>
      </c>
      <c r="K148">
        <v>2.4043197944453998</v>
      </c>
      <c r="L148">
        <f t="shared" si="10"/>
        <v>105</v>
      </c>
      <c r="M148">
        <v>0.28062209706515401</v>
      </c>
      <c r="N148">
        <f t="shared" si="11"/>
        <v>203</v>
      </c>
      <c r="O148">
        <v>153.25</v>
      </c>
      <c r="P148">
        <v>1661.5833333333301</v>
      </c>
    </row>
    <row r="149" spans="1:16">
      <c r="A149" t="s">
        <v>430</v>
      </c>
      <c r="B149" t="s">
        <v>17</v>
      </c>
      <c r="C149" t="s">
        <v>431</v>
      </c>
      <c r="D149" t="s">
        <v>432</v>
      </c>
      <c r="E149">
        <v>0.53365497497314995</v>
      </c>
      <c r="F149" t="s">
        <v>25</v>
      </c>
      <c r="G149">
        <v>0.68661124729371503</v>
      </c>
      <c r="H149">
        <f t="shared" si="8"/>
        <v>169</v>
      </c>
      <c r="I149">
        <v>1.0010228357142601</v>
      </c>
      <c r="J149">
        <f t="shared" si="9"/>
        <v>154</v>
      </c>
      <c r="K149">
        <v>1.5381667409881601</v>
      </c>
      <c r="L149">
        <f t="shared" si="10"/>
        <v>127</v>
      </c>
      <c r="M149">
        <v>0.96141983300724398</v>
      </c>
      <c r="N149">
        <f t="shared" si="11"/>
        <v>164</v>
      </c>
      <c r="O149">
        <v>153.5</v>
      </c>
      <c r="P149">
        <v>351</v>
      </c>
    </row>
    <row r="150" spans="1:16">
      <c r="A150" t="s">
        <v>433</v>
      </c>
      <c r="B150" t="s">
        <v>17</v>
      </c>
      <c r="C150" t="s">
        <v>434</v>
      </c>
      <c r="D150" t="s">
        <v>435</v>
      </c>
      <c r="E150">
        <v>0.82195441930644397</v>
      </c>
      <c r="F150" t="s">
        <v>20</v>
      </c>
      <c r="G150">
        <v>1.0251664562278699</v>
      </c>
      <c r="H150">
        <f t="shared" si="8"/>
        <v>152</v>
      </c>
      <c r="I150">
        <v>1.28039734082387</v>
      </c>
      <c r="J150">
        <f t="shared" si="9"/>
        <v>140</v>
      </c>
      <c r="K150">
        <v>0.34691274511625902</v>
      </c>
      <c r="L150">
        <f t="shared" si="10"/>
        <v>197</v>
      </c>
      <c r="M150">
        <v>2.6226284400000002</v>
      </c>
      <c r="N150">
        <f t="shared" si="11"/>
        <v>121</v>
      </c>
      <c r="O150">
        <v>154</v>
      </c>
      <c r="P150">
        <v>1064.6666666666699</v>
      </c>
    </row>
    <row r="151" spans="1:16">
      <c r="A151" t="s">
        <v>436</v>
      </c>
      <c r="B151" t="s">
        <v>17</v>
      </c>
      <c r="C151" t="s">
        <v>437</v>
      </c>
      <c r="D151" t="s">
        <v>438</v>
      </c>
      <c r="E151">
        <v>3.0080981366575799</v>
      </c>
      <c r="F151" t="s">
        <v>25</v>
      </c>
      <c r="G151">
        <v>0.89702798481144697</v>
      </c>
      <c r="H151">
        <f t="shared" si="8"/>
        <v>157</v>
      </c>
      <c r="I151">
        <v>0.81479565620107697</v>
      </c>
      <c r="J151">
        <f t="shared" si="9"/>
        <v>173</v>
      </c>
      <c r="K151">
        <v>1.21422258474119</v>
      </c>
      <c r="L151">
        <f t="shared" si="10"/>
        <v>133</v>
      </c>
      <c r="M151">
        <v>1.31129428</v>
      </c>
      <c r="N151">
        <f t="shared" si="11"/>
        <v>151</v>
      </c>
      <c r="O151">
        <v>154</v>
      </c>
      <c r="P151">
        <v>272.66666666666703</v>
      </c>
    </row>
    <row r="152" spans="1:16">
      <c r="A152" t="s">
        <v>439</v>
      </c>
      <c r="B152" t="s">
        <v>17</v>
      </c>
      <c r="C152" t="s">
        <v>440</v>
      </c>
      <c r="D152" t="s">
        <v>441</v>
      </c>
      <c r="E152">
        <v>1.8090263018304201E-3</v>
      </c>
      <c r="F152" t="s">
        <v>20</v>
      </c>
      <c r="G152">
        <v>1.61710785565397</v>
      </c>
      <c r="H152">
        <f t="shared" si="8"/>
        <v>124</v>
      </c>
      <c r="I152">
        <v>0.83393690998509795</v>
      </c>
      <c r="J152">
        <f t="shared" si="9"/>
        <v>162</v>
      </c>
      <c r="K152">
        <v>0.61645720345080701</v>
      </c>
      <c r="L152">
        <f t="shared" si="10"/>
        <v>179</v>
      </c>
      <c r="M152">
        <v>0.97114604318289899</v>
      </c>
      <c r="N152">
        <f t="shared" si="11"/>
        <v>157</v>
      </c>
      <c r="O152">
        <v>155.5</v>
      </c>
      <c r="P152">
        <v>529.66666666666697</v>
      </c>
    </row>
    <row r="153" spans="1:16">
      <c r="A153" t="s">
        <v>442</v>
      </c>
      <c r="B153" t="s">
        <v>17</v>
      </c>
      <c r="C153" t="s">
        <v>443</v>
      </c>
      <c r="D153" t="s">
        <v>444</v>
      </c>
      <c r="E153">
        <v>1.61197791049975</v>
      </c>
      <c r="F153" t="s">
        <v>25</v>
      </c>
      <c r="G153">
        <v>1.61710785565397</v>
      </c>
      <c r="H153">
        <f t="shared" si="8"/>
        <v>124</v>
      </c>
      <c r="I153">
        <v>0.83393690998509795</v>
      </c>
      <c r="J153">
        <f t="shared" si="9"/>
        <v>162</v>
      </c>
      <c r="K153">
        <v>0.61645720345080701</v>
      </c>
      <c r="L153">
        <f t="shared" si="10"/>
        <v>179</v>
      </c>
      <c r="M153">
        <v>0.97114604318289899</v>
      </c>
      <c r="N153">
        <f t="shared" si="11"/>
        <v>157</v>
      </c>
      <c r="O153">
        <v>156.5</v>
      </c>
      <c r="P153">
        <v>529.66666666666697</v>
      </c>
    </row>
    <row r="154" spans="1:16">
      <c r="A154" t="s">
        <v>445</v>
      </c>
      <c r="B154" t="s">
        <v>30</v>
      </c>
      <c r="C154" t="s">
        <v>446</v>
      </c>
      <c r="D154" t="s">
        <v>447</v>
      </c>
      <c r="E154">
        <v>3.95398742309863</v>
      </c>
      <c r="F154" t="s">
        <v>25</v>
      </c>
      <c r="G154">
        <v>0.30726771785659501</v>
      </c>
      <c r="H154">
        <f t="shared" si="8"/>
        <v>191</v>
      </c>
      <c r="I154">
        <v>1.5060071561102299</v>
      </c>
      <c r="J154">
        <f t="shared" si="9"/>
        <v>132</v>
      </c>
      <c r="K154">
        <v>3.0148682732973202</v>
      </c>
      <c r="L154">
        <f t="shared" si="10"/>
        <v>97</v>
      </c>
      <c r="M154">
        <v>0.19457630689469599</v>
      </c>
      <c r="N154">
        <f t="shared" si="11"/>
        <v>206</v>
      </c>
      <c r="O154">
        <v>156.5</v>
      </c>
      <c r="P154">
        <v>2593.6666666666702</v>
      </c>
    </row>
    <row r="155" spans="1:16">
      <c r="A155" t="s">
        <v>448</v>
      </c>
      <c r="B155" t="s">
        <v>17</v>
      </c>
      <c r="C155" t="s">
        <v>449</v>
      </c>
      <c r="D155" t="s">
        <v>450</v>
      </c>
      <c r="E155">
        <v>1.34201817152631</v>
      </c>
      <c r="F155" t="s">
        <v>25</v>
      </c>
      <c r="G155">
        <v>0.51131659937294405</v>
      </c>
      <c r="H155">
        <f t="shared" si="8"/>
        <v>181</v>
      </c>
      <c r="I155">
        <v>1.55937346256583</v>
      </c>
      <c r="J155">
        <f t="shared" si="9"/>
        <v>128</v>
      </c>
      <c r="K155">
        <v>0.71886298264249304</v>
      </c>
      <c r="L155">
        <f t="shared" si="10"/>
        <v>166</v>
      </c>
      <c r="M155">
        <v>1.26318858879926</v>
      </c>
      <c r="N155">
        <f t="shared" si="11"/>
        <v>152</v>
      </c>
      <c r="O155">
        <v>156.75</v>
      </c>
      <c r="P155">
        <v>507.58333333333297</v>
      </c>
    </row>
    <row r="156" spans="1:16">
      <c r="A156" t="s">
        <v>451</v>
      </c>
      <c r="B156" t="s">
        <v>17</v>
      </c>
      <c r="C156" t="s">
        <v>452</v>
      </c>
      <c r="D156" t="s">
        <v>453</v>
      </c>
      <c r="E156">
        <v>0.50056968614997999</v>
      </c>
      <c r="F156" t="s">
        <v>25</v>
      </c>
      <c r="G156">
        <v>1.78972513839273</v>
      </c>
      <c r="H156">
        <f t="shared" si="8"/>
        <v>121</v>
      </c>
      <c r="I156">
        <v>0.83656492693400397</v>
      </c>
      <c r="J156">
        <f t="shared" si="9"/>
        <v>159</v>
      </c>
      <c r="K156">
        <v>0.24819583095612299</v>
      </c>
      <c r="L156">
        <f t="shared" si="10"/>
        <v>201</v>
      </c>
      <c r="M156">
        <v>1.4747943250517199</v>
      </c>
      <c r="N156">
        <f t="shared" si="11"/>
        <v>148</v>
      </c>
      <c r="O156">
        <v>157.25</v>
      </c>
      <c r="P156">
        <v>1105.5833333333301</v>
      </c>
    </row>
    <row r="157" spans="1:16">
      <c r="A157" t="s">
        <v>454</v>
      </c>
      <c r="B157" t="s">
        <v>17</v>
      </c>
      <c r="C157" t="s">
        <v>455</v>
      </c>
      <c r="D157" t="s">
        <v>456</v>
      </c>
      <c r="E157">
        <v>0.65849686307935795</v>
      </c>
      <c r="F157" t="s">
        <v>25</v>
      </c>
      <c r="G157">
        <v>1.61710785565397</v>
      </c>
      <c r="H157">
        <f t="shared" si="8"/>
        <v>124</v>
      </c>
      <c r="I157">
        <v>0.83393690998509795</v>
      </c>
      <c r="J157">
        <f t="shared" si="9"/>
        <v>162</v>
      </c>
      <c r="K157">
        <v>0.61645720345080701</v>
      </c>
      <c r="L157">
        <f t="shared" si="10"/>
        <v>179</v>
      </c>
      <c r="M157">
        <v>0.97114604318289899</v>
      </c>
      <c r="N157">
        <f t="shared" si="11"/>
        <v>157</v>
      </c>
      <c r="O157">
        <v>157.5</v>
      </c>
      <c r="P157">
        <v>529.66666666666697</v>
      </c>
    </row>
    <row r="158" spans="1:16">
      <c r="A158" t="s">
        <v>457</v>
      </c>
      <c r="B158" t="s">
        <v>17</v>
      </c>
      <c r="C158" t="s">
        <v>458</v>
      </c>
      <c r="D158" t="s">
        <v>458</v>
      </c>
      <c r="E158">
        <v>5.2175801308841399</v>
      </c>
      <c r="F158" t="s">
        <v>25</v>
      </c>
      <c r="G158">
        <v>0.93975058943299905</v>
      </c>
      <c r="H158">
        <f t="shared" si="8"/>
        <v>156</v>
      </c>
      <c r="I158">
        <v>0.81479565620107697</v>
      </c>
      <c r="J158">
        <f t="shared" si="9"/>
        <v>173</v>
      </c>
      <c r="K158">
        <v>1.0407662121830601</v>
      </c>
      <c r="L158">
        <f t="shared" si="10"/>
        <v>149</v>
      </c>
      <c r="M158">
        <v>1.2341663599999999</v>
      </c>
      <c r="N158">
        <f t="shared" si="11"/>
        <v>153</v>
      </c>
      <c r="O158">
        <v>157.75</v>
      </c>
      <c r="P158">
        <v>111.583333333333</v>
      </c>
    </row>
    <row r="159" spans="1:16">
      <c r="A159" t="s">
        <v>459</v>
      </c>
      <c r="B159" t="s">
        <v>17</v>
      </c>
      <c r="C159" t="s">
        <v>460</v>
      </c>
      <c r="D159" t="s">
        <v>461</v>
      </c>
      <c r="E159">
        <v>2.01320424677583</v>
      </c>
      <c r="F159" t="s">
        <v>25</v>
      </c>
      <c r="G159">
        <v>1.78972513839273</v>
      </c>
      <c r="H159">
        <f t="shared" si="8"/>
        <v>121</v>
      </c>
      <c r="I159">
        <v>0.83656492693400397</v>
      </c>
      <c r="J159">
        <f t="shared" si="9"/>
        <v>159</v>
      </c>
      <c r="K159">
        <v>0.24819583095612299</v>
      </c>
      <c r="L159">
        <f t="shared" si="10"/>
        <v>201</v>
      </c>
      <c r="M159">
        <v>1.4747943250517199</v>
      </c>
      <c r="N159">
        <f t="shared" si="11"/>
        <v>148</v>
      </c>
      <c r="O159">
        <v>158.25</v>
      </c>
      <c r="P159">
        <v>1105.5833333333301</v>
      </c>
    </row>
    <row r="160" spans="1:16">
      <c r="A160" t="s">
        <v>462</v>
      </c>
      <c r="B160" t="s">
        <v>93</v>
      </c>
      <c r="C160" t="s">
        <v>463</v>
      </c>
      <c r="D160" t="s">
        <v>464</v>
      </c>
      <c r="E160">
        <v>6.6721480193223395E-2</v>
      </c>
      <c r="F160" t="s">
        <v>20</v>
      </c>
      <c r="G160">
        <v>1.1314737195525399</v>
      </c>
      <c r="H160">
        <f t="shared" si="8"/>
        <v>146</v>
      </c>
      <c r="I160">
        <v>0.819814150870947</v>
      </c>
      <c r="J160">
        <f t="shared" si="9"/>
        <v>170</v>
      </c>
      <c r="K160">
        <v>0.65210163135168697</v>
      </c>
      <c r="L160">
        <f t="shared" si="10"/>
        <v>173</v>
      </c>
      <c r="M160">
        <v>1.56673425136193</v>
      </c>
      <c r="N160">
        <f t="shared" si="11"/>
        <v>144</v>
      </c>
      <c r="O160">
        <v>158.25</v>
      </c>
      <c r="P160">
        <v>236.25</v>
      </c>
    </row>
    <row r="161" spans="1:16">
      <c r="A161" t="s">
        <v>465</v>
      </c>
      <c r="B161" t="s">
        <v>17</v>
      </c>
      <c r="C161" t="s">
        <v>466</v>
      </c>
      <c r="D161" t="s">
        <v>467</v>
      </c>
      <c r="E161">
        <v>0.101203086422194</v>
      </c>
      <c r="F161" t="s">
        <v>20</v>
      </c>
      <c r="G161">
        <v>1.61710785565397</v>
      </c>
      <c r="H161">
        <f t="shared" si="8"/>
        <v>124</v>
      </c>
      <c r="I161">
        <v>0.83393690998509795</v>
      </c>
      <c r="J161">
        <f t="shared" si="9"/>
        <v>162</v>
      </c>
      <c r="K161">
        <v>0.61645720345080701</v>
      </c>
      <c r="L161">
        <f t="shared" si="10"/>
        <v>179</v>
      </c>
      <c r="M161">
        <v>0.97114604318289899</v>
      </c>
      <c r="N161">
        <f t="shared" si="11"/>
        <v>157</v>
      </c>
      <c r="O161">
        <v>158.5</v>
      </c>
      <c r="P161">
        <v>529.66666666666697</v>
      </c>
    </row>
    <row r="162" spans="1:16">
      <c r="A162" t="s">
        <v>468</v>
      </c>
      <c r="B162" t="s">
        <v>17</v>
      </c>
      <c r="C162" t="s">
        <v>469</v>
      </c>
      <c r="D162" t="s">
        <v>470</v>
      </c>
      <c r="E162">
        <v>0.81071799048780202</v>
      </c>
      <c r="F162" t="s">
        <v>20</v>
      </c>
      <c r="G162">
        <v>0.179539510480902</v>
      </c>
      <c r="H162">
        <f t="shared" si="8"/>
        <v>203</v>
      </c>
      <c r="I162">
        <v>1.0151943463402899</v>
      </c>
      <c r="J162">
        <f t="shared" si="9"/>
        <v>150</v>
      </c>
      <c r="K162">
        <v>1.96817105299956</v>
      </c>
      <c r="L162">
        <f t="shared" si="10"/>
        <v>110</v>
      </c>
      <c r="M162">
        <v>0.86155617416368002</v>
      </c>
      <c r="N162">
        <f t="shared" si="11"/>
        <v>173</v>
      </c>
      <c r="O162">
        <v>159</v>
      </c>
      <c r="P162">
        <v>1538</v>
      </c>
    </row>
    <row r="163" spans="1:16">
      <c r="A163" t="s">
        <v>471</v>
      </c>
      <c r="B163" t="s">
        <v>93</v>
      </c>
      <c r="C163" t="s">
        <v>472</v>
      </c>
      <c r="D163" t="s">
        <v>473</v>
      </c>
      <c r="E163">
        <v>0.27491211783619701</v>
      </c>
      <c r="F163" t="s">
        <v>20</v>
      </c>
      <c r="G163">
        <v>1.1314737195525399</v>
      </c>
      <c r="H163">
        <f t="shared" si="8"/>
        <v>146</v>
      </c>
      <c r="I163">
        <v>0.819814150870947</v>
      </c>
      <c r="J163">
        <f t="shared" si="9"/>
        <v>170</v>
      </c>
      <c r="K163">
        <v>0.65210163135168697</v>
      </c>
      <c r="L163">
        <f t="shared" si="10"/>
        <v>173</v>
      </c>
      <c r="M163">
        <v>1.56673425136193</v>
      </c>
      <c r="N163">
        <f t="shared" si="11"/>
        <v>144</v>
      </c>
      <c r="O163">
        <v>159.25</v>
      </c>
      <c r="P163">
        <v>236.25</v>
      </c>
    </row>
    <row r="164" spans="1:16">
      <c r="A164" t="s">
        <v>474</v>
      </c>
      <c r="B164" t="s">
        <v>17</v>
      </c>
      <c r="C164" t="s">
        <v>475</v>
      </c>
      <c r="D164" t="s">
        <v>476</v>
      </c>
      <c r="E164">
        <v>7.7882231101348703E-2</v>
      </c>
      <c r="F164" t="s">
        <v>25</v>
      </c>
      <c r="G164">
        <v>1.78972513839273</v>
      </c>
      <c r="H164">
        <f t="shared" si="8"/>
        <v>121</v>
      </c>
      <c r="I164">
        <v>0.83656492693400397</v>
      </c>
      <c r="J164">
        <f t="shared" si="9"/>
        <v>159</v>
      </c>
      <c r="K164">
        <v>0.24819583095612299</v>
      </c>
      <c r="L164">
        <f t="shared" si="10"/>
        <v>201</v>
      </c>
      <c r="M164">
        <v>1.4747943250517199</v>
      </c>
      <c r="N164">
        <f t="shared" si="11"/>
        <v>148</v>
      </c>
      <c r="O164">
        <v>159.25</v>
      </c>
      <c r="P164">
        <v>1105.5833333333301</v>
      </c>
    </row>
    <row r="165" spans="1:16">
      <c r="A165" t="s">
        <v>477</v>
      </c>
      <c r="B165" t="s">
        <v>17</v>
      </c>
      <c r="C165" t="s">
        <v>478</v>
      </c>
      <c r="D165" t="s">
        <v>479</v>
      </c>
      <c r="E165">
        <v>0.22996764003362999</v>
      </c>
      <c r="F165" t="s">
        <v>25</v>
      </c>
      <c r="G165">
        <v>1.61710785565397</v>
      </c>
      <c r="H165">
        <f t="shared" si="8"/>
        <v>124</v>
      </c>
      <c r="I165">
        <v>0.83393690998509795</v>
      </c>
      <c r="J165">
        <f t="shared" si="9"/>
        <v>162</v>
      </c>
      <c r="K165">
        <v>0.61645720345080701</v>
      </c>
      <c r="L165">
        <f t="shared" si="10"/>
        <v>179</v>
      </c>
      <c r="M165">
        <v>0.97114604318289899</v>
      </c>
      <c r="N165">
        <f t="shared" si="11"/>
        <v>157</v>
      </c>
      <c r="O165">
        <v>159.5</v>
      </c>
      <c r="P165">
        <v>529.66666666666697</v>
      </c>
    </row>
    <row r="166" spans="1:16">
      <c r="A166" t="s">
        <v>480</v>
      </c>
      <c r="B166" t="s">
        <v>17</v>
      </c>
      <c r="C166" t="s">
        <v>481</v>
      </c>
      <c r="D166" t="s">
        <v>482</v>
      </c>
      <c r="E166">
        <v>1.8626128310686401</v>
      </c>
      <c r="F166" t="s">
        <v>20</v>
      </c>
      <c r="G166">
        <v>0.179539510480902</v>
      </c>
      <c r="H166">
        <f t="shared" si="8"/>
        <v>203</v>
      </c>
      <c r="I166">
        <v>1.0151943463402899</v>
      </c>
      <c r="J166">
        <f t="shared" si="9"/>
        <v>150</v>
      </c>
      <c r="K166">
        <v>1.96817105299956</v>
      </c>
      <c r="L166">
        <f t="shared" si="10"/>
        <v>110</v>
      </c>
      <c r="M166">
        <v>0.86155617416368002</v>
      </c>
      <c r="N166">
        <f t="shared" si="11"/>
        <v>173</v>
      </c>
      <c r="O166">
        <v>160</v>
      </c>
      <c r="P166">
        <v>1538</v>
      </c>
    </row>
    <row r="167" spans="1:16">
      <c r="A167" t="s">
        <v>483</v>
      </c>
      <c r="B167" t="s">
        <v>93</v>
      </c>
      <c r="C167" t="s">
        <v>484</v>
      </c>
      <c r="D167" t="s">
        <v>485</v>
      </c>
      <c r="E167">
        <v>1.4343173272771299E-2</v>
      </c>
      <c r="F167" t="s">
        <v>20</v>
      </c>
      <c r="G167">
        <v>1.1314737195525399</v>
      </c>
      <c r="H167">
        <f t="shared" si="8"/>
        <v>146</v>
      </c>
      <c r="I167">
        <v>0.819814150870947</v>
      </c>
      <c r="J167">
        <f t="shared" si="9"/>
        <v>170</v>
      </c>
      <c r="K167">
        <v>0.65210163135168697</v>
      </c>
      <c r="L167">
        <f t="shared" si="10"/>
        <v>173</v>
      </c>
      <c r="M167">
        <v>1.56673425136193</v>
      </c>
      <c r="N167">
        <f t="shared" si="11"/>
        <v>144</v>
      </c>
      <c r="O167">
        <v>160.25</v>
      </c>
      <c r="P167">
        <v>236.25</v>
      </c>
    </row>
    <row r="168" spans="1:16">
      <c r="A168" t="s">
        <v>486</v>
      </c>
      <c r="B168" t="s">
        <v>17</v>
      </c>
      <c r="C168" t="s">
        <v>486</v>
      </c>
      <c r="D168" t="s">
        <v>487</v>
      </c>
      <c r="E168" t="s">
        <v>38</v>
      </c>
      <c r="F168" t="s">
        <v>20</v>
      </c>
      <c r="G168">
        <v>1.61710785565397</v>
      </c>
      <c r="H168">
        <f t="shared" si="8"/>
        <v>124</v>
      </c>
      <c r="I168">
        <v>0.83393690998509795</v>
      </c>
      <c r="J168">
        <f t="shared" si="9"/>
        <v>162</v>
      </c>
      <c r="K168">
        <v>0.61645720345080701</v>
      </c>
      <c r="L168">
        <f t="shared" si="10"/>
        <v>179</v>
      </c>
      <c r="M168">
        <v>0.97114604318289899</v>
      </c>
      <c r="N168">
        <f t="shared" si="11"/>
        <v>157</v>
      </c>
      <c r="O168">
        <v>160.5</v>
      </c>
      <c r="P168">
        <v>529.66666666666697</v>
      </c>
    </row>
    <row r="169" spans="1:16">
      <c r="A169" t="s">
        <v>488</v>
      </c>
      <c r="B169" t="s">
        <v>17</v>
      </c>
      <c r="C169" t="s">
        <v>489</v>
      </c>
      <c r="D169" t="s">
        <v>490</v>
      </c>
      <c r="E169">
        <v>4.8676397595413404E-3</v>
      </c>
      <c r="F169" t="s">
        <v>20</v>
      </c>
      <c r="G169">
        <v>0.179539510480902</v>
      </c>
      <c r="H169">
        <f t="shared" si="8"/>
        <v>203</v>
      </c>
      <c r="I169">
        <v>1.0151943463402899</v>
      </c>
      <c r="J169">
        <f t="shared" si="9"/>
        <v>150</v>
      </c>
      <c r="K169">
        <v>1.96817105299956</v>
      </c>
      <c r="L169">
        <f t="shared" si="10"/>
        <v>110</v>
      </c>
      <c r="M169">
        <v>0.86155617416368002</v>
      </c>
      <c r="N169">
        <f t="shared" si="11"/>
        <v>173</v>
      </c>
      <c r="O169">
        <v>161</v>
      </c>
      <c r="P169">
        <v>1538</v>
      </c>
    </row>
    <row r="170" spans="1:16">
      <c r="A170" t="s">
        <v>491</v>
      </c>
      <c r="B170" t="s">
        <v>17</v>
      </c>
      <c r="C170" t="s">
        <v>492</v>
      </c>
      <c r="D170" t="s">
        <v>493</v>
      </c>
      <c r="E170">
        <v>8.2316683781877995E-2</v>
      </c>
      <c r="F170" t="s">
        <v>20</v>
      </c>
      <c r="G170">
        <v>1.61710785565397</v>
      </c>
      <c r="H170">
        <f t="shared" si="8"/>
        <v>124</v>
      </c>
      <c r="I170">
        <v>0.83393690998509795</v>
      </c>
      <c r="J170">
        <f t="shared" si="9"/>
        <v>162</v>
      </c>
      <c r="K170">
        <v>0.61645720345080701</v>
      </c>
      <c r="L170">
        <f t="shared" si="10"/>
        <v>179</v>
      </c>
      <c r="M170">
        <v>0.97114604318289899</v>
      </c>
      <c r="N170">
        <f t="shared" si="11"/>
        <v>157</v>
      </c>
      <c r="O170">
        <v>161.5</v>
      </c>
      <c r="P170">
        <v>529.66666666666697</v>
      </c>
    </row>
    <row r="171" spans="1:16">
      <c r="A171" t="s">
        <v>494</v>
      </c>
      <c r="B171" t="s">
        <v>17</v>
      </c>
      <c r="C171" t="s">
        <v>495</v>
      </c>
      <c r="D171" t="s">
        <v>496</v>
      </c>
      <c r="E171">
        <v>1.8816710092309501E-2</v>
      </c>
      <c r="F171" t="s">
        <v>20</v>
      </c>
      <c r="G171">
        <v>0.536631988431301</v>
      </c>
      <c r="H171">
        <f t="shared" si="8"/>
        <v>176</v>
      </c>
      <c r="I171">
        <v>1.0584953902313099</v>
      </c>
      <c r="J171">
        <f t="shared" si="9"/>
        <v>144</v>
      </c>
      <c r="K171">
        <v>1.0494873949675001</v>
      </c>
      <c r="L171">
        <f t="shared" si="10"/>
        <v>147</v>
      </c>
      <c r="M171">
        <v>0.78671619444723495</v>
      </c>
      <c r="N171">
        <f t="shared" si="11"/>
        <v>181</v>
      </c>
      <c r="O171">
        <v>162</v>
      </c>
      <c r="P171">
        <v>368.66666666666703</v>
      </c>
    </row>
    <row r="172" spans="1:16">
      <c r="A172" t="s">
        <v>497</v>
      </c>
      <c r="B172" t="s">
        <v>17</v>
      </c>
      <c r="C172" t="s">
        <v>498</v>
      </c>
      <c r="D172" t="s">
        <v>499</v>
      </c>
      <c r="E172">
        <v>2.3746816294415898</v>
      </c>
      <c r="F172" t="s">
        <v>20</v>
      </c>
      <c r="G172">
        <v>0.179539510480902</v>
      </c>
      <c r="H172">
        <f t="shared" si="8"/>
        <v>203</v>
      </c>
      <c r="I172">
        <v>1.0151943463402899</v>
      </c>
      <c r="J172">
        <f t="shared" si="9"/>
        <v>150</v>
      </c>
      <c r="K172">
        <v>1.96817105299956</v>
      </c>
      <c r="L172">
        <f t="shared" si="10"/>
        <v>110</v>
      </c>
      <c r="M172">
        <v>0.86155617416368002</v>
      </c>
      <c r="N172">
        <f t="shared" si="11"/>
        <v>173</v>
      </c>
      <c r="O172">
        <v>162</v>
      </c>
      <c r="P172">
        <v>1538</v>
      </c>
    </row>
    <row r="173" spans="1:16">
      <c r="A173" t="s">
        <v>500</v>
      </c>
      <c r="B173" t="s">
        <v>17</v>
      </c>
      <c r="C173" t="s">
        <v>501</v>
      </c>
      <c r="D173" t="s">
        <v>502</v>
      </c>
      <c r="E173">
        <v>0.13679638090260601</v>
      </c>
      <c r="F173" t="s">
        <v>20</v>
      </c>
      <c r="G173">
        <v>0.536631988431301</v>
      </c>
      <c r="H173">
        <f t="shared" si="8"/>
        <v>176</v>
      </c>
      <c r="I173">
        <v>1.0584953902313099</v>
      </c>
      <c r="J173">
        <f t="shared" si="9"/>
        <v>144</v>
      </c>
      <c r="K173">
        <v>1.0494873949675001</v>
      </c>
      <c r="L173">
        <f t="shared" si="10"/>
        <v>147</v>
      </c>
      <c r="M173">
        <v>0.78671619444723495</v>
      </c>
      <c r="N173">
        <f t="shared" si="11"/>
        <v>181</v>
      </c>
      <c r="O173">
        <v>163</v>
      </c>
      <c r="P173">
        <v>368.66666666666703</v>
      </c>
    </row>
    <row r="174" spans="1:16">
      <c r="A174" t="s">
        <v>503</v>
      </c>
      <c r="B174" t="s">
        <v>17</v>
      </c>
      <c r="C174" t="s">
        <v>504</v>
      </c>
      <c r="D174" t="s">
        <v>505</v>
      </c>
      <c r="E174">
        <v>3.5827952201158898E-2</v>
      </c>
      <c r="F174" t="s">
        <v>25</v>
      </c>
      <c r="G174">
        <v>0.70036086021108201</v>
      </c>
      <c r="H174">
        <f t="shared" si="8"/>
        <v>163</v>
      </c>
      <c r="I174">
        <v>0.64134473140092496</v>
      </c>
      <c r="J174">
        <f t="shared" si="9"/>
        <v>175</v>
      </c>
      <c r="K174">
        <v>0.90279880712976301</v>
      </c>
      <c r="L174">
        <f t="shared" si="10"/>
        <v>154</v>
      </c>
      <c r="M174">
        <v>0.90268695759385797</v>
      </c>
      <c r="N174">
        <f t="shared" si="11"/>
        <v>165</v>
      </c>
      <c r="O174">
        <v>164.25</v>
      </c>
      <c r="P174">
        <v>74.25</v>
      </c>
    </row>
    <row r="175" spans="1:16">
      <c r="A175" t="s">
        <v>506</v>
      </c>
      <c r="B175" t="s">
        <v>17</v>
      </c>
      <c r="C175" t="s">
        <v>507</v>
      </c>
      <c r="D175" t="s">
        <v>508</v>
      </c>
      <c r="E175">
        <v>0.68788226657493401</v>
      </c>
      <c r="F175" t="s">
        <v>25</v>
      </c>
      <c r="G175">
        <v>0.70036086021108201</v>
      </c>
      <c r="H175">
        <f t="shared" si="8"/>
        <v>163</v>
      </c>
      <c r="I175">
        <v>0.64134473140092496</v>
      </c>
      <c r="J175">
        <f t="shared" si="9"/>
        <v>175</v>
      </c>
      <c r="K175">
        <v>0.90279880712976301</v>
      </c>
      <c r="L175">
        <f t="shared" si="10"/>
        <v>154</v>
      </c>
      <c r="M175">
        <v>0.90268695759385797</v>
      </c>
      <c r="N175">
        <f t="shared" si="11"/>
        <v>165</v>
      </c>
      <c r="O175">
        <v>165.25</v>
      </c>
      <c r="P175">
        <v>74.25</v>
      </c>
    </row>
    <row r="176" spans="1:16">
      <c r="A176" t="s">
        <v>509</v>
      </c>
      <c r="B176" t="s">
        <v>17</v>
      </c>
      <c r="C176" t="s">
        <v>510</v>
      </c>
      <c r="D176" t="s">
        <v>511</v>
      </c>
      <c r="E176">
        <v>0.70887557988597005</v>
      </c>
      <c r="F176" t="s">
        <v>25</v>
      </c>
      <c r="G176">
        <v>1.4950564221684901</v>
      </c>
      <c r="H176">
        <f t="shared" si="8"/>
        <v>132</v>
      </c>
      <c r="I176">
        <v>0.931203369245591</v>
      </c>
      <c r="J176">
        <f t="shared" si="9"/>
        <v>155</v>
      </c>
      <c r="K176">
        <v>0.34691274511625902</v>
      </c>
      <c r="L176">
        <f t="shared" si="10"/>
        <v>197</v>
      </c>
      <c r="M176">
        <v>0.84848688000000005</v>
      </c>
      <c r="N176">
        <f t="shared" si="11"/>
        <v>177</v>
      </c>
      <c r="O176">
        <v>165.5</v>
      </c>
      <c r="P176">
        <v>807</v>
      </c>
    </row>
    <row r="177" spans="1:16">
      <c r="A177" t="s">
        <v>512</v>
      </c>
      <c r="B177" t="s">
        <v>17</v>
      </c>
      <c r="C177" t="s">
        <v>513</v>
      </c>
      <c r="D177" t="s">
        <v>514</v>
      </c>
      <c r="E177">
        <v>0.82195441930644397</v>
      </c>
      <c r="F177" t="s">
        <v>25</v>
      </c>
      <c r="G177">
        <v>0.38444475669750999</v>
      </c>
      <c r="H177">
        <f t="shared" si="8"/>
        <v>183</v>
      </c>
      <c r="I177">
        <v>1.0476110822901099</v>
      </c>
      <c r="J177">
        <f t="shared" si="9"/>
        <v>146</v>
      </c>
      <c r="K177">
        <v>1.0407662121830601</v>
      </c>
      <c r="L177">
        <f t="shared" si="10"/>
        <v>149</v>
      </c>
      <c r="M177">
        <v>0.77135896000000004</v>
      </c>
      <c r="N177">
        <f t="shared" si="11"/>
        <v>183</v>
      </c>
      <c r="O177">
        <v>166</v>
      </c>
      <c r="P177">
        <v>386</v>
      </c>
    </row>
    <row r="178" spans="1:16">
      <c r="A178" t="s">
        <v>515</v>
      </c>
      <c r="B178" t="s">
        <v>17</v>
      </c>
      <c r="C178" t="s">
        <v>516</v>
      </c>
      <c r="D178" t="s">
        <v>517</v>
      </c>
      <c r="E178">
        <v>6.3350873582513397E-3</v>
      </c>
      <c r="F178" t="s">
        <v>20</v>
      </c>
      <c r="G178">
        <v>0.70036086021108201</v>
      </c>
      <c r="H178">
        <f t="shared" si="8"/>
        <v>163</v>
      </c>
      <c r="I178">
        <v>0.64134473140092496</v>
      </c>
      <c r="J178">
        <f t="shared" si="9"/>
        <v>175</v>
      </c>
      <c r="K178">
        <v>0.90279880712976301</v>
      </c>
      <c r="L178">
        <f t="shared" si="10"/>
        <v>154</v>
      </c>
      <c r="M178">
        <v>0.90268695759385797</v>
      </c>
      <c r="N178">
        <f t="shared" si="11"/>
        <v>165</v>
      </c>
      <c r="O178">
        <v>166.25</v>
      </c>
      <c r="P178">
        <v>74.25</v>
      </c>
    </row>
    <row r="179" spans="1:16">
      <c r="A179" t="s">
        <v>518</v>
      </c>
      <c r="B179" t="s">
        <v>17</v>
      </c>
      <c r="C179" t="s">
        <v>519</v>
      </c>
      <c r="D179" t="s">
        <v>520</v>
      </c>
      <c r="E179">
        <v>0.43511064568110902</v>
      </c>
      <c r="F179" t="s">
        <v>20</v>
      </c>
      <c r="G179">
        <v>0.20521363777221899</v>
      </c>
      <c r="H179">
        <f t="shared" si="8"/>
        <v>198</v>
      </c>
      <c r="I179">
        <v>1.8031869295683201</v>
      </c>
      <c r="J179">
        <f t="shared" si="9"/>
        <v>122</v>
      </c>
      <c r="K179">
        <v>0.88935957493785101</v>
      </c>
      <c r="L179">
        <f t="shared" si="10"/>
        <v>160</v>
      </c>
      <c r="M179">
        <v>0.76220460736741202</v>
      </c>
      <c r="N179">
        <f t="shared" si="11"/>
        <v>185</v>
      </c>
      <c r="O179">
        <v>166.25</v>
      </c>
      <c r="P179">
        <v>1118.9166666666699</v>
      </c>
    </row>
    <row r="180" spans="1:16">
      <c r="A180" t="s">
        <v>521</v>
      </c>
      <c r="B180" t="s">
        <v>17</v>
      </c>
      <c r="C180" t="s">
        <v>522</v>
      </c>
      <c r="D180" t="s">
        <v>523</v>
      </c>
      <c r="E180">
        <v>0.36231256981597498</v>
      </c>
      <c r="F180" t="s">
        <v>20</v>
      </c>
      <c r="G180">
        <v>0.20521363777221899</v>
      </c>
      <c r="H180">
        <f t="shared" si="8"/>
        <v>198</v>
      </c>
      <c r="I180">
        <v>1.8031869295683201</v>
      </c>
      <c r="J180">
        <f t="shared" si="9"/>
        <v>122</v>
      </c>
      <c r="K180">
        <v>0.88935957493785101</v>
      </c>
      <c r="L180">
        <f t="shared" si="10"/>
        <v>160</v>
      </c>
      <c r="M180">
        <v>0.76220460736741202</v>
      </c>
      <c r="N180">
        <f t="shared" si="11"/>
        <v>185</v>
      </c>
      <c r="O180">
        <v>167.25</v>
      </c>
      <c r="P180">
        <v>1118.9166666666699</v>
      </c>
    </row>
    <row r="181" spans="1:16">
      <c r="A181" t="s">
        <v>524</v>
      </c>
      <c r="B181" t="s">
        <v>17</v>
      </c>
      <c r="C181" t="s">
        <v>525</v>
      </c>
      <c r="D181" t="s">
        <v>526</v>
      </c>
      <c r="E181">
        <v>0.94605688318603198</v>
      </c>
      <c r="F181" t="s">
        <v>25</v>
      </c>
      <c r="G181">
        <v>0.70036086021108201</v>
      </c>
      <c r="H181">
        <f t="shared" si="8"/>
        <v>163</v>
      </c>
      <c r="I181">
        <v>0.64134473140092496</v>
      </c>
      <c r="J181">
        <f t="shared" si="9"/>
        <v>175</v>
      </c>
      <c r="K181">
        <v>0.90279880712976301</v>
      </c>
      <c r="L181">
        <f t="shared" si="10"/>
        <v>154</v>
      </c>
      <c r="M181">
        <v>0.90268695759385797</v>
      </c>
      <c r="N181">
        <f t="shared" si="11"/>
        <v>165</v>
      </c>
      <c r="O181">
        <v>167.25</v>
      </c>
      <c r="P181">
        <v>74.25</v>
      </c>
    </row>
    <row r="182" spans="1:16">
      <c r="A182" t="s">
        <v>527</v>
      </c>
      <c r="B182" t="s">
        <v>17</v>
      </c>
      <c r="C182" t="s">
        <v>528</v>
      </c>
      <c r="D182" t="s">
        <v>529</v>
      </c>
      <c r="E182">
        <v>7.8996794252819897E-4</v>
      </c>
      <c r="F182" t="s">
        <v>25</v>
      </c>
      <c r="G182">
        <v>0.70036086021108201</v>
      </c>
      <c r="H182">
        <f t="shared" si="8"/>
        <v>163</v>
      </c>
      <c r="I182">
        <v>0.64134473140092496</v>
      </c>
      <c r="J182">
        <f t="shared" si="9"/>
        <v>175</v>
      </c>
      <c r="K182">
        <v>0.90279880712976301</v>
      </c>
      <c r="L182">
        <f t="shared" si="10"/>
        <v>154</v>
      </c>
      <c r="M182">
        <v>0.90268695759385797</v>
      </c>
      <c r="N182">
        <f t="shared" si="11"/>
        <v>165</v>
      </c>
      <c r="O182">
        <v>168.25</v>
      </c>
      <c r="P182">
        <v>74.25</v>
      </c>
    </row>
    <row r="183" spans="1:16">
      <c r="A183" t="s">
        <v>530</v>
      </c>
      <c r="B183" t="s">
        <v>17</v>
      </c>
      <c r="C183" t="s">
        <v>531</v>
      </c>
      <c r="D183" t="s">
        <v>532</v>
      </c>
      <c r="E183">
        <v>1.0861366328993401E-3</v>
      </c>
      <c r="F183" t="s">
        <v>25</v>
      </c>
      <c r="G183">
        <v>0.70036086021108201</v>
      </c>
      <c r="H183">
        <f t="shared" si="8"/>
        <v>163</v>
      </c>
      <c r="I183">
        <v>0.64134473140092496</v>
      </c>
      <c r="J183">
        <f t="shared" si="9"/>
        <v>175</v>
      </c>
      <c r="K183">
        <v>0.90279880712976301</v>
      </c>
      <c r="L183">
        <f t="shared" si="10"/>
        <v>154</v>
      </c>
      <c r="M183">
        <v>0.90268695759385797</v>
      </c>
      <c r="N183">
        <f t="shared" si="11"/>
        <v>165</v>
      </c>
      <c r="O183">
        <v>169.25</v>
      </c>
      <c r="P183">
        <v>74.25</v>
      </c>
    </row>
    <row r="184" spans="1:16">
      <c r="A184" t="s">
        <v>533</v>
      </c>
      <c r="B184" t="s">
        <v>30</v>
      </c>
      <c r="C184" t="s">
        <v>534</v>
      </c>
      <c r="D184" t="s">
        <v>535</v>
      </c>
      <c r="E184">
        <v>0.55494037547984798</v>
      </c>
      <c r="F184" t="s">
        <v>25</v>
      </c>
      <c r="G184">
        <v>1.2440419322082601</v>
      </c>
      <c r="H184">
        <f t="shared" si="8"/>
        <v>141</v>
      </c>
      <c r="I184">
        <v>0.57744512826139605</v>
      </c>
      <c r="J184">
        <f t="shared" si="9"/>
        <v>193</v>
      </c>
      <c r="K184">
        <v>0.72271168465535995</v>
      </c>
      <c r="L184">
        <f t="shared" si="10"/>
        <v>165</v>
      </c>
      <c r="M184">
        <v>0.76901807568323199</v>
      </c>
      <c r="N184">
        <f t="shared" si="11"/>
        <v>184</v>
      </c>
      <c r="O184">
        <v>170.75</v>
      </c>
      <c r="P184">
        <v>529.58333333333303</v>
      </c>
    </row>
    <row r="185" spans="1:16">
      <c r="A185" t="s">
        <v>536</v>
      </c>
      <c r="B185" t="s">
        <v>17</v>
      </c>
      <c r="C185" t="s">
        <v>537</v>
      </c>
      <c r="D185" t="s">
        <v>538</v>
      </c>
      <c r="E185">
        <v>1.6574529336045101</v>
      </c>
      <c r="F185" t="s">
        <v>25</v>
      </c>
      <c r="G185">
        <v>0.51566365697193595</v>
      </c>
      <c r="H185">
        <f t="shared" si="8"/>
        <v>178</v>
      </c>
      <c r="I185">
        <v>0.91123489584586503</v>
      </c>
      <c r="J185">
        <f t="shared" si="9"/>
        <v>158</v>
      </c>
      <c r="K185">
        <v>5.3271274853529199E-2</v>
      </c>
      <c r="L185">
        <f t="shared" si="10"/>
        <v>216</v>
      </c>
      <c r="M185">
        <v>1.9171277527416699</v>
      </c>
      <c r="N185">
        <f t="shared" si="11"/>
        <v>132</v>
      </c>
      <c r="O185">
        <v>171.5</v>
      </c>
      <c r="P185">
        <v>1265</v>
      </c>
    </row>
    <row r="186" spans="1:16">
      <c r="A186" t="s">
        <v>539</v>
      </c>
      <c r="B186" t="s">
        <v>17</v>
      </c>
      <c r="C186" t="s">
        <v>540</v>
      </c>
      <c r="D186" t="s">
        <v>541</v>
      </c>
      <c r="E186">
        <v>0.65930446254826303</v>
      </c>
      <c r="F186" t="s">
        <v>25</v>
      </c>
      <c r="G186">
        <v>1.35852150589946</v>
      </c>
      <c r="H186">
        <f t="shared" si="8"/>
        <v>136</v>
      </c>
      <c r="I186">
        <v>0.83292628472160102</v>
      </c>
      <c r="J186">
        <f t="shared" si="9"/>
        <v>169</v>
      </c>
      <c r="K186">
        <v>0.26728506582533901</v>
      </c>
      <c r="L186">
        <f t="shared" si="10"/>
        <v>200</v>
      </c>
      <c r="M186">
        <v>0.65810170206764995</v>
      </c>
      <c r="N186">
        <f t="shared" si="11"/>
        <v>188</v>
      </c>
      <c r="O186">
        <v>173.25</v>
      </c>
      <c r="P186">
        <v>779.58333333333303</v>
      </c>
    </row>
    <row r="187" spans="1:16">
      <c r="A187" t="s">
        <v>542</v>
      </c>
      <c r="B187" t="s">
        <v>17</v>
      </c>
      <c r="C187" t="s">
        <v>543</v>
      </c>
      <c r="D187" t="s">
        <v>544</v>
      </c>
      <c r="E187">
        <v>8.2602381094201704E-2</v>
      </c>
      <c r="F187" t="s">
        <v>25</v>
      </c>
      <c r="G187">
        <v>1.01707438028775</v>
      </c>
      <c r="H187">
        <f t="shared" si="8"/>
        <v>154</v>
      </c>
      <c r="I187">
        <v>0.18754845214142801</v>
      </c>
      <c r="J187">
        <f t="shared" si="9"/>
        <v>203</v>
      </c>
      <c r="K187">
        <v>0.96102687188583003</v>
      </c>
      <c r="L187">
        <f t="shared" si="10"/>
        <v>152</v>
      </c>
      <c r="M187">
        <v>0.57571590928781302</v>
      </c>
      <c r="N187">
        <f t="shared" si="11"/>
        <v>189</v>
      </c>
      <c r="O187">
        <v>174.5</v>
      </c>
      <c r="P187">
        <v>649.66666666666697</v>
      </c>
    </row>
    <row r="188" spans="1:16">
      <c r="A188" t="s">
        <v>545</v>
      </c>
      <c r="B188" t="s">
        <v>17</v>
      </c>
      <c r="C188" t="s">
        <v>546</v>
      </c>
      <c r="D188" t="s">
        <v>547</v>
      </c>
      <c r="E188">
        <v>0.13432379449197401</v>
      </c>
      <c r="F188" t="s">
        <v>25</v>
      </c>
      <c r="G188">
        <v>0.35960821647536201</v>
      </c>
      <c r="H188">
        <f t="shared" si="8"/>
        <v>184</v>
      </c>
      <c r="I188">
        <v>0.59631158334701695</v>
      </c>
      <c r="J188">
        <f t="shared" si="9"/>
        <v>184</v>
      </c>
      <c r="K188">
        <v>1.2021598972226999</v>
      </c>
      <c r="L188">
        <f t="shared" si="10"/>
        <v>135</v>
      </c>
      <c r="M188">
        <v>0.140311048532577</v>
      </c>
      <c r="N188">
        <f t="shared" si="11"/>
        <v>208</v>
      </c>
      <c r="O188">
        <v>177.75</v>
      </c>
      <c r="P188">
        <v>940.25</v>
      </c>
    </row>
    <row r="189" spans="1:16">
      <c r="A189" t="s">
        <v>548</v>
      </c>
      <c r="B189" t="s">
        <v>17</v>
      </c>
      <c r="C189" t="s">
        <v>549</v>
      </c>
      <c r="D189" t="s">
        <v>549</v>
      </c>
      <c r="E189">
        <v>2.6094207498159401</v>
      </c>
      <c r="F189" t="s">
        <v>20</v>
      </c>
      <c r="G189">
        <v>0.35960821647536201</v>
      </c>
      <c r="H189">
        <f t="shared" si="8"/>
        <v>184</v>
      </c>
      <c r="I189">
        <v>0.59631158334701695</v>
      </c>
      <c r="J189">
        <f t="shared" si="9"/>
        <v>184</v>
      </c>
      <c r="K189">
        <v>1.2021598972226999</v>
      </c>
      <c r="L189">
        <f t="shared" si="10"/>
        <v>135</v>
      </c>
      <c r="M189">
        <v>0.140311048532577</v>
      </c>
      <c r="N189">
        <f t="shared" si="11"/>
        <v>208</v>
      </c>
      <c r="O189">
        <v>178.75</v>
      </c>
      <c r="P189">
        <v>940.25</v>
      </c>
    </row>
    <row r="190" spans="1:16">
      <c r="A190" t="s">
        <v>550</v>
      </c>
      <c r="B190" t="s">
        <v>17</v>
      </c>
      <c r="C190" t="s">
        <v>551</v>
      </c>
      <c r="D190" t="s">
        <v>552</v>
      </c>
      <c r="E190">
        <v>2.2869666616492E-2</v>
      </c>
      <c r="F190" t="s">
        <v>20</v>
      </c>
      <c r="G190">
        <v>0.35960821647536201</v>
      </c>
      <c r="H190">
        <f t="shared" si="8"/>
        <v>184</v>
      </c>
      <c r="I190">
        <v>0.59631158334701695</v>
      </c>
      <c r="J190">
        <f t="shared" si="9"/>
        <v>184</v>
      </c>
      <c r="K190">
        <v>1.2021598972226999</v>
      </c>
      <c r="L190">
        <f t="shared" si="10"/>
        <v>135</v>
      </c>
      <c r="M190">
        <v>0.140311048532577</v>
      </c>
      <c r="N190">
        <f t="shared" si="11"/>
        <v>208</v>
      </c>
      <c r="O190">
        <v>179.75</v>
      </c>
      <c r="P190">
        <v>940.25</v>
      </c>
    </row>
    <row r="191" spans="1:16">
      <c r="A191" t="s">
        <v>553</v>
      </c>
      <c r="B191" t="s">
        <v>17</v>
      </c>
      <c r="C191" t="s">
        <v>554</v>
      </c>
      <c r="D191" t="s">
        <v>555</v>
      </c>
      <c r="E191">
        <v>0.561071752587744</v>
      </c>
      <c r="F191" t="s">
        <v>20</v>
      </c>
      <c r="G191">
        <v>0.35960821647536201</v>
      </c>
      <c r="H191">
        <f t="shared" si="8"/>
        <v>184</v>
      </c>
      <c r="I191">
        <v>0.59631158334701695</v>
      </c>
      <c r="J191">
        <f t="shared" si="9"/>
        <v>184</v>
      </c>
      <c r="K191">
        <v>1.2021598972226999</v>
      </c>
      <c r="L191">
        <f t="shared" si="10"/>
        <v>135</v>
      </c>
      <c r="M191">
        <v>0.140311048532577</v>
      </c>
      <c r="N191">
        <f t="shared" si="11"/>
        <v>208</v>
      </c>
      <c r="O191">
        <v>180.75</v>
      </c>
      <c r="P191">
        <v>940.25</v>
      </c>
    </row>
    <row r="192" spans="1:16">
      <c r="A192" t="s">
        <v>556</v>
      </c>
      <c r="B192" t="s">
        <v>17</v>
      </c>
      <c r="C192" t="s">
        <v>557</v>
      </c>
      <c r="D192" t="s">
        <v>558</v>
      </c>
      <c r="E192">
        <v>0.73550763289978105</v>
      </c>
      <c r="F192" t="s">
        <v>25</v>
      </c>
      <c r="G192">
        <v>0.35960821647536201</v>
      </c>
      <c r="H192">
        <f t="shared" si="8"/>
        <v>184</v>
      </c>
      <c r="I192">
        <v>0.59631158334701695</v>
      </c>
      <c r="J192">
        <f t="shared" si="9"/>
        <v>184</v>
      </c>
      <c r="K192">
        <v>1.2021598972226999</v>
      </c>
      <c r="L192">
        <f t="shared" si="10"/>
        <v>135</v>
      </c>
      <c r="M192">
        <v>0.140311048532577</v>
      </c>
      <c r="N192">
        <f t="shared" si="11"/>
        <v>208</v>
      </c>
      <c r="O192">
        <v>181.75</v>
      </c>
      <c r="P192">
        <v>940.25</v>
      </c>
    </row>
    <row r="193" spans="1:16">
      <c r="A193" t="s">
        <v>559</v>
      </c>
      <c r="B193" t="s">
        <v>17</v>
      </c>
      <c r="C193" t="s">
        <v>560</v>
      </c>
      <c r="D193" t="s">
        <v>560</v>
      </c>
      <c r="E193">
        <v>0.48485693627473098</v>
      </c>
      <c r="F193" t="s">
        <v>25</v>
      </c>
      <c r="G193">
        <v>0.35960821647536201</v>
      </c>
      <c r="H193">
        <f t="shared" si="8"/>
        <v>184</v>
      </c>
      <c r="I193">
        <v>0.59631158334701695</v>
      </c>
      <c r="J193">
        <f t="shared" si="9"/>
        <v>184</v>
      </c>
      <c r="K193">
        <v>1.2021598972226999</v>
      </c>
      <c r="L193">
        <f t="shared" si="10"/>
        <v>135</v>
      </c>
      <c r="M193">
        <v>0.140311048532577</v>
      </c>
      <c r="N193">
        <f t="shared" si="11"/>
        <v>208</v>
      </c>
      <c r="O193">
        <v>182.75</v>
      </c>
      <c r="P193">
        <v>940.25</v>
      </c>
    </row>
    <row r="194" spans="1:16">
      <c r="A194" t="s">
        <v>561</v>
      </c>
      <c r="B194" t="s">
        <v>93</v>
      </c>
      <c r="C194" t="s">
        <v>562</v>
      </c>
      <c r="D194" t="s">
        <v>563</v>
      </c>
      <c r="E194">
        <v>1.40128233766435E-3</v>
      </c>
      <c r="F194" t="s">
        <v>48</v>
      </c>
      <c r="G194">
        <v>0.64073039945232002</v>
      </c>
      <c r="H194">
        <f t="shared" si="8"/>
        <v>170</v>
      </c>
      <c r="I194">
        <v>0.45100510379367098</v>
      </c>
      <c r="J194">
        <f t="shared" si="9"/>
        <v>195</v>
      </c>
      <c r="K194">
        <v>0.36082609336997601</v>
      </c>
      <c r="L194">
        <f t="shared" si="10"/>
        <v>191</v>
      </c>
      <c r="M194">
        <v>0.81875850603590605</v>
      </c>
      <c r="N194">
        <f t="shared" si="11"/>
        <v>178</v>
      </c>
      <c r="O194">
        <v>183.5</v>
      </c>
      <c r="P194">
        <v>133.666666666667</v>
      </c>
    </row>
    <row r="195" spans="1:16">
      <c r="A195" t="s">
        <v>564</v>
      </c>
      <c r="B195" t="s">
        <v>17</v>
      </c>
      <c r="C195" t="s">
        <v>565</v>
      </c>
      <c r="D195" t="s">
        <v>566</v>
      </c>
      <c r="E195">
        <v>7.9955886970755202E-3</v>
      </c>
      <c r="F195" t="s">
        <v>20</v>
      </c>
      <c r="G195">
        <v>0.35960821647536201</v>
      </c>
      <c r="H195">
        <f t="shared" ref="H195:H258" si="12">_xlfn.RANK.EQ(G195,G$2:G$263)</f>
        <v>184</v>
      </c>
      <c r="I195">
        <v>0.59631158334701695</v>
      </c>
      <c r="J195">
        <f t="shared" ref="J195:J258" si="13">_xlfn.RANK.EQ(I195,I$2:I$263)</f>
        <v>184</v>
      </c>
      <c r="K195">
        <v>1.2021598972226999</v>
      </c>
      <c r="L195">
        <f t="shared" ref="L195:L258" si="14">_xlfn.RANK.EQ(K195,K$2:K$263)</f>
        <v>135</v>
      </c>
      <c r="M195">
        <v>0.140311048532577</v>
      </c>
      <c r="N195">
        <f t="shared" ref="N195:N258" si="15">_xlfn.RANK.EQ(M195,M$2:M$263)</f>
        <v>208</v>
      </c>
      <c r="O195">
        <v>183.75</v>
      </c>
      <c r="P195">
        <v>940.25</v>
      </c>
    </row>
    <row r="196" spans="1:16">
      <c r="A196" t="s">
        <v>567</v>
      </c>
      <c r="B196" t="s">
        <v>93</v>
      </c>
      <c r="C196" t="s">
        <v>568</v>
      </c>
      <c r="D196" t="s">
        <v>569</v>
      </c>
      <c r="E196">
        <v>0.26011908447142101</v>
      </c>
      <c r="F196" t="s">
        <v>48</v>
      </c>
      <c r="G196">
        <v>0.64072766079399501</v>
      </c>
      <c r="H196">
        <f t="shared" si="12"/>
        <v>171</v>
      </c>
      <c r="I196">
        <v>0.45100311662068898</v>
      </c>
      <c r="J196">
        <f t="shared" si="13"/>
        <v>196</v>
      </c>
      <c r="K196">
        <v>0.36082450907222502</v>
      </c>
      <c r="L196">
        <f t="shared" si="14"/>
        <v>192</v>
      </c>
      <c r="M196">
        <v>0.81875422269832099</v>
      </c>
      <c r="N196">
        <f t="shared" si="15"/>
        <v>179</v>
      </c>
      <c r="O196">
        <v>184.5</v>
      </c>
      <c r="P196">
        <v>133.666666666667</v>
      </c>
    </row>
    <row r="197" spans="1:16">
      <c r="A197" t="s">
        <v>570</v>
      </c>
      <c r="B197" t="s">
        <v>93</v>
      </c>
      <c r="C197" t="s">
        <v>571</v>
      </c>
      <c r="D197" t="s">
        <v>572</v>
      </c>
      <c r="E197">
        <v>0.11116966726468901</v>
      </c>
      <c r="F197" t="s">
        <v>48</v>
      </c>
      <c r="G197">
        <v>0.64072766079399501</v>
      </c>
      <c r="H197">
        <f t="shared" si="12"/>
        <v>171</v>
      </c>
      <c r="I197">
        <v>0.45100311662068898</v>
      </c>
      <c r="J197">
        <f t="shared" si="13"/>
        <v>196</v>
      </c>
      <c r="K197">
        <v>0.36082450907222502</v>
      </c>
      <c r="L197">
        <f t="shared" si="14"/>
        <v>192</v>
      </c>
      <c r="M197">
        <v>0.81875422269832099</v>
      </c>
      <c r="N197">
        <f t="shared" si="15"/>
        <v>179</v>
      </c>
      <c r="O197">
        <v>185.5</v>
      </c>
      <c r="P197">
        <v>133.666666666667</v>
      </c>
    </row>
    <row r="198" spans="1:16">
      <c r="A198" t="s">
        <v>573</v>
      </c>
      <c r="B198" t="s">
        <v>93</v>
      </c>
      <c r="C198" t="s">
        <v>574</v>
      </c>
      <c r="D198" t="s">
        <v>575</v>
      </c>
      <c r="E198">
        <v>0.136336792653316</v>
      </c>
      <c r="F198" t="s">
        <v>20</v>
      </c>
      <c r="G198">
        <v>0.56136211215145304</v>
      </c>
      <c r="H198">
        <f t="shared" si="12"/>
        <v>174</v>
      </c>
      <c r="I198">
        <v>0.229739228196463</v>
      </c>
      <c r="J198">
        <f t="shared" si="13"/>
        <v>202</v>
      </c>
      <c r="K198">
        <v>0.17417976057454801</v>
      </c>
      <c r="L198">
        <f t="shared" si="14"/>
        <v>206</v>
      </c>
      <c r="M198">
        <v>0.86577192979645901</v>
      </c>
      <c r="N198">
        <f t="shared" si="15"/>
        <v>172</v>
      </c>
      <c r="O198">
        <v>188.5</v>
      </c>
      <c r="P198">
        <v>323.66666666666703</v>
      </c>
    </row>
    <row r="199" spans="1:16">
      <c r="A199" t="s">
        <v>576</v>
      </c>
      <c r="B199" t="s">
        <v>30</v>
      </c>
      <c r="C199" t="s">
        <v>577</v>
      </c>
      <c r="D199" t="s">
        <v>578</v>
      </c>
      <c r="E199">
        <v>2.2375848722061602</v>
      </c>
      <c r="F199" t="s">
        <v>20</v>
      </c>
      <c r="G199">
        <v>0.18274611492457901</v>
      </c>
      <c r="H199">
        <f t="shared" si="12"/>
        <v>200</v>
      </c>
      <c r="I199">
        <v>0.61067293473570705</v>
      </c>
      <c r="J199">
        <f t="shared" si="13"/>
        <v>181</v>
      </c>
      <c r="K199">
        <v>0.50632778298205705</v>
      </c>
      <c r="L199">
        <f t="shared" si="14"/>
        <v>186</v>
      </c>
      <c r="M199">
        <v>0.51657296170632705</v>
      </c>
      <c r="N199">
        <f t="shared" si="15"/>
        <v>192</v>
      </c>
      <c r="O199">
        <v>189.75</v>
      </c>
      <c r="P199">
        <v>66.9166666666667</v>
      </c>
    </row>
    <row r="200" spans="1:16">
      <c r="A200" t="s">
        <v>579</v>
      </c>
      <c r="B200" t="s">
        <v>30</v>
      </c>
      <c r="C200" t="s">
        <v>580</v>
      </c>
      <c r="D200" t="s">
        <v>581</v>
      </c>
      <c r="E200">
        <v>0.72687875288983095</v>
      </c>
      <c r="F200" t="s">
        <v>20</v>
      </c>
      <c r="G200">
        <v>0.18274611492457901</v>
      </c>
      <c r="H200">
        <f t="shared" si="12"/>
        <v>200</v>
      </c>
      <c r="I200">
        <v>0.61067293473570705</v>
      </c>
      <c r="J200">
        <f t="shared" si="13"/>
        <v>181</v>
      </c>
      <c r="K200">
        <v>0.50632778298205705</v>
      </c>
      <c r="L200">
        <f t="shared" si="14"/>
        <v>186</v>
      </c>
      <c r="M200">
        <v>0.51657296170632705</v>
      </c>
      <c r="N200">
        <f t="shared" si="15"/>
        <v>192</v>
      </c>
      <c r="O200">
        <v>190.75</v>
      </c>
      <c r="P200">
        <v>66.9166666666667</v>
      </c>
    </row>
    <row r="201" spans="1:16">
      <c r="A201" t="s">
        <v>582</v>
      </c>
      <c r="B201" t="s">
        <v>30</v>
      </c>
      <c r="C201" t="s">
        <v>583</v>
      </c>
      <c r="D201" t="s">
        <v>584</v>
      </c>
      <c r="E201" t="s">
        <v>585</v>
      </c>
      <c r="F201" t="s">
        <v>20</v>
      </c>
      <c r="G201">
        <v>0.18274611492457901</v>
      </c>
      <c r="H201">
        <f t="shared" si="12"/>
        <v>200</v>
      </c>
      <c r="I201">
        <v>0.61067293473570705</v>
      </c>
      <c r="J201">
        <f t="shared" si="13"/>
        <v>181</v>
      </c>
      <c r="K201">
        <v>0.50632778298205705</v>
      </c>
      <c r="L201">
        <f t="shared" si="14"/>
        <v>186</v>
      </c>
      <c r="M201">
        <v>0.51657296170632705</v>
      </c>
      <c r="N201">
        <f t="shared" si="15"/>
        <v>192</v>
      </c>
      <c r="O201">
        <v>191.75</v>
      </c>
      <c r="P201">
        <v>66.9166666666667</v>
      </c>
    </row>
    <row r="202" spans="1:16">
      <c r="A202" t="s">
        <v>586</v>
      </c>
      <c r="B202" t="s">
        <v>17</v>
      </c>
      <c r="C202" t="s">
        <v>587</v>
      </c>
      <c r="D202" t="s">
        <v>588</v>
      </c>
      <c r="E202">
        <v>2.2049631219693801E-2</v>
      </c>
      <c r="F202" t="s">
        <v>179</v>
      </c>
      <c r="G202">
        <v>1.59390498994527E-2</v>
      </c>
      <c r="H202">
        <f t="shared" si="12"/>
        <v>228</v>
      </c>
      <c r="I202">
        <v>0.34942959423930497</v>
      </c>
      <c r="J202">
        <f t="shared" si="13"/>
        <v>198</v>
      </c>
      <c r="K202">
        <v>1.0084479565520601</v>
      </c>
      <c r="L202">
        <f t="shared" si="14"/>
        <v>151</v>
      </c>
      <c r="M202">
        <v>0.33821082006922498</v>
      </c>
      <c r="N202">
        <f t="shared" si="15"/>
        <v>195</v>
      </c>
      <c r="O202">
        <v>193</v>
      </c>
      <c r="P202">
        <v>1006</v>
      </c>
    </row>
    <row r="203" spans="1:16">
      <c r="A203" t="s">
        <v>589</v>
      </c>
      <c r="B203" t="s">
        <v>17</v>
      </c>
      <c r="C203" t="s">
        <v>590</v>
      </c>
      <c r="D203" t="s">
        <v>591</v>
      </c>
      <c r="E203">
        <v>0.37317229570987898</v>
      </c>
      <c r="F203" t="s">
        <v>25</v>
      </c>
      <c r="G203">
        <v>4.2716736131906199E-2</v>
      </c>
      <c r="H203">
        <f t="shared" si="12"/>
        <v>222</v>
      </c>
      <c r="I203">
        <v>0.34919397157828203</v>
      </c>
      <c r="J203">
        <f t="shared" si="13"/>
        <v>199</v>
      </c>
      <c r="K203">
        <v>0.69382549023251805</v>
      </c>
      <c r="L203">
        <f t="shared" si="14"/>
        <v>167</v>
      </c>
      <c r="M203">
        <v>0.69423104000000002</v>
      </c>
      <c r="N203">
        <f t="shared" si="15"/>
        <v>187</v>
      </c>
      <c r="O203">
        <v>194.25</v>
      </c>
      <c r="P203">
        <v>494.25</v>
      </c>
    </row>
    <row r="204" spans="1:16">
      <c r="A204" t="s">
        <v>592</v>
      </c>
      <c r="B204" t="s">
        <v>17</v>
      </c>
      <c r="C204" t="s">
        <v>593</v>
      </c>
      <c r="D204" t="s">
        <v>593</v>
      </c>
      <c r="E204">
        <v>7.5198619154536794E-2</v>
      </c>
      <c r="F204" t="s">
        <v>20</v>
      </c>
      <c r="G204">
        <v>7.8921884414059798E-2</v>
      </c>
      <c r="H204">
        <f t="shared" si="12"/>
        <v>213</v>
      </c>
      <c r="I204">
        <v>0.261060185797167</v>
      </c>
      <c r="J204">
        <f t="shared" si="13"/>
        <v>200</v>
      </c>
      <c r="K204">
        <v>0.62372157043068499</v>
      </c>
      <c r="L204">
        <f t="shared" si="14"/>
        <v>176</v>
      </c>
      <c r="M204">
        <v>0.52579991358095401</v>
      </c>
      <c r="N204">
        <f t="shared" si="15"/>
        <v>190</v>
      </c>
      <c r="O204">
        <v>194.75</v>
      </c>
      <c r="P204">
        <v>244.916666666667</v>
      </c>
    </row>
    <row r="205" spans="1:16">
      <c r="A205" t="s">
        <v>594</v>
      </c>
      <c r="B205" t="s">
        <v>30</v>
      </c>
      <c r="C205" t="s">
        <v>595</v>
      </c>
      <c r="D205" t="s">
        <v>596</v>
      </c>
      <c r="E205">
        <v>6.2299910829759497E-2</v>
      </c>
      <c r="F205" t="s">
        <v>20</v>
      </c>
      <c r="G205">
        <v>7.8928052016711506E-2</v>
      </c>
      <c r="H205">
        <f t="shared" si="12"/>
        <v>212</v>
      </c>
      <c r="I205">
        <v>0.261055717443607</v>
      </c>
      <c r="J205">
        <f t="shared" si="13"/>
        <v>201</v>
      </c>
      <c r="K205">
        <v>0.62371801670651394</v>
      </c>
      <c r="L205">
        <f t="shared" si="14"/>
        <v>177</v>
      </c>
      <c r="M205">
        <v>0.525791346905784</v>
      </c>
      <c r="N205">
        <f t="shared" si="15"/>
        <v>191</v>
      </c>
      <c r="O205">
        <v>195.25</v>
      </c>
      <c r="P205">
        <v>221.583333333333</v>
      </c>
    </row>
    <row r="206" spans="1:16">
      <c r="A206" t="s">
        <v>597</v>
      </c>
      <c r="B206" t="s">
        <v>17</v>
      </c>
      <c r="C206" t="s">
        <v>598</v>
      </c>
      <c r="D206" t="s">
        <v>599</v>
      </c>
      <c r="E206">
        <v>7.5198619154536794E-2</v>
      </c>
      <c r="F206" t="s">
        <v>20</v>
      </c>
      <c r="G206">
        <v>0.50853719014387599</v>
      </c>
      <c r="H206">
        <f t="shared" si="12"/>
        <v>182</v>
      </c>
      <c r="I206">
        <v>9.3774226070714201E-2</v>
      </c>
      <c r="J206">
        <f t="shared" si="13"/>
        <v>213</v>
      </c>
      <c r="K206">
        <v>0.48051343594291501</v>
      </c>
      <c r="L206">
        <f t="shared" si="14"/>
        <v>189</v>
      </c>
      <c r="M206">
        <v>0.28785795464390601</v>
      </c>
      <c r="N206">
        <f t="shared" si="15"/>
        <v>202</v>
      </c>
      <c r="O206">
        <v>196.5</v>
      </c>
      <c r="P206">
        <v>189.666666666667</v>
      </c>
    </row>
    <row r="207" spans="1:16">
      <c r="A207" t="s">
        <v>600</v>
      </c>
      <c r="B207" t="s">
        <v>93</v>
      </c>
      <c r="C207" t="s">
        <v>601</v>
      </c>
      <c r="D207" t="s">
        <v>602</v>
      </c>
      <c r="E207">
        <v>0.17606897459038301</v>
      </c>
      <c r="F207" t="s">
        <v>179</v>
      </c>
      <c r="G207">
        <v>0.22558035510614199</v>
      </c>
      <c r="H207">
        <f t="shared" si="12"/>
        <v>194</v>
      </c>
      <c r="I207">
        <v>0.16344521669283099</v>
      </c>
      <c r="J207">
        <f t="shared" si="13"/>
        <v>204</v>
      </c>
      <c r="K207">
        <v>0.130008602960555</v>
      </c>
      <c r="L207">
        <f t="shared" si="14"/>
        <v>207</v>
      </c>
      <c r="M207">
        <v>0.31235764708609198</v>
      </c>
      <c r="N207">
        <f t="shared" si="15"/>
        <v>198</v>
      </c>
      <c r="O207">
        <v>200.75</v>
      </c>
      <c r="P207">
        <v>34.25</v>
      </c>
    </row>
    <row r="208" spans="1:16">
      <c r="A208" t="s">
        <v>603</v>
      </c>
      <c r="B208" t="s">
        <v>93</v>
      </c>
      <c r="C208" t="s">
        <v>604</v>
      </c>
      <c r="D208" t="s">
        <v>604</v>
      </c>
      <c r="E208">
        <v>0.40196879583741202</v>
      </c>
      <c r="F208" t="s">
        <v>20</v>
      </c>
      <c r="G208">
        <v>0.22558035510614199</v>
      </c>
      <c r="H208">
        <f t="shared" si="12"/>
        <v>194</v>
      </c>
      <c r="I208">
        <v>0.16344521669283099</v>
      </c>
      <c r="J208">
        <f t="shared" si="13"/>
        <v>204</v>
      </c>
      <c r="K208">
        <v>0.130008602960555</v>
      </c>
      <c r="L208">
        <f t="shared" si="14"/>
        <v>207</v>
      </c>
      <c r="M208">
        <v>0.31235764708609198</v>
      </c>
      <c r="N208">
        <f t="shared" si="15"/>
        <v>198</v>
      </c>
      <c r="O208">
        <v>201.75</v>
      </c>
      <c r="P208">
        <v>34.25</v>
      </c>
    </row>
    <row r="209" spans="1:16">
      <c r="A209" t="s">
        <v>605</v>
      </c>
      <c r="B209" t="s">
        <v>93</v>
      </c>
      <c r="C209" t="s">
        <v>606</v>
      </c>
      <c r="D209" t="s">
        <v>607</v>
      </c>
      <c r="E209">
        <v>5.7362398106770296E-3</v>
      </c>
      <c r="F209" t="s">
        <v>179</v>
      </c>
      <c r="G209">
        <v>0.22558035510614199</v>
      </c>
      <c r="H209">
        <f t="shared" si="12"/>
        <v>194</v>
      </c>
      <c r="I209">
        <v>0.16344521669283099</v>
      </c>
      <c r="J209">
        <f t="shared" si="13"/>
        <v>204</v>
      </c>
      <c r="K209">
        <v>0.130008602960555</v>
      </c>
      <c r="L209">
        <f t="shared" si="14"/>
        <v>207</v>
      </c>
      <c r="M209">
        <v>0.31235764708609198</v>
      </c>
      <c r="N209">
        <f t="shared" si="15"/>
        <v>198</v>
      </c>
      <c r="O209">
        <v>202.75</v>
      </c>
      <c r="P209">
        <v>34.25</v>
      </c>
    </row>
    <row r="210" spans="1:16">
      <c r="A210" t="s">
        <v>608</v>
      </c>
      <c r="B210" t="s">
        <v>93</v>
      </c>
      <c r="C210" t="s">
        <v>609</v>
      </c>
      <c r="D210" t="s">
        <v>610</v>
      </c>
      <c r="E210">
        <v>9.2416962240058007E-3</v>
      </c>
      <c r="F210" t="s">
        <v>20</v>
      </c>
      <c r="G210">
        <v>0.225196225736186</v>
      </c>
      <c r="H210">
        <f t="shared" si="12"/>
        <v>197</v>
      </c>
      <c r="I210">
        <v>0.16316689410538299</v>
      </c>
      <c r="J210">
        <f t="shared" si="13"/>
        <v>207</v>
      </c>
      <c r="K210">
        <v>0.129787217890384</v>
      </c>
      <c r="L210">
        <f t="shared" si="14"/>
        <v>210</v>
      </c>
      <c r="M210">
        <v>0.31182574905747201</v>
      </c>
      <c r="N210">
        <f t="shared" si="15"/>
        <v>201</v>
      </c>
      <c r="O210">
        <v>203.75</v>
      </c>
      <c r="P210">
        <v>34.25</v>
      </c>
    </row>
    <row r="211" spans="1:16">
      <c r="A211" t="s">
        <v>611</v>
      </c>
      <c r="B211" t="s">
        <v>17</v>
      </c>
      <c r="C211" t="s">
        <v>611</v>
      </c>
      <c r="D211" t="s">
        <v>612</v>
      </c>
      <c r="E211" t="s">
        <v>38</v>
      </c>
      <c r="F211" t="s">
        <v>25</v>
      </c>
      <c r="G211">
        <v>0.25858634975451</v>
      </c>
      <c r="H211">
        <f t="shared" si="12"/>
        <v>192</v>
      </c>
      <c r="I211">
        <v>1.0106252634968201E-3</v>
      </c>
      <c r="J211">
        <f t="shared" si="13"/>
        <v>241</v>
      </c>
      <c r="K211">
        <v>0.349172137625468</v>
      </c>
      <c r="L211">
        <f t="shared" si="14"/>
        <v>194</v>
      </c>
      <c r="M211">
        <v>0.31304434111524898</v>
      </c>
      <c r="N211">
        <f t="shared" si="15"/>
        <v>196</v>
      </c>
      <c r="O211">
        <v>205.75</v>
      </c>
      <c r="P211">
        <v>554.91666666666697</v>
      </c>
    </row>
    <row r="212" spans="1:16">
      <c r="A212" t="s">
        <v>613</v>
      </c>
      <c r="B212" t="s">
        <v>17</v>
      </c>
      <c r="C212" t="s">
        <v>614</v>
      </c>
      <c r="D212" t="s">
        <v>614</v>
      </c>
      <c r="E212">
        <v>3.8953503736897502E-2</v>
      </c>
      <c r="F212" t="s">
        <v>25</v>
      </c>
      <c r="G212">
        <v>0.25858328896271698</v>
      </c>
      <c r="H212">
        <f t="shared" si="12"/>
        <v>193</v>
      </c>
      <c r="I212">
        <v>1.0083746197968599E-3</v>
      </c>
      <c r="J212">
        <f t="shared" si="13"/>
        <v>242</v>
      </c>
      <c r="K212">
        <v>0.34917034792576002</v>
      </c>
      <c r="L212">
        <f t="shared" si="14"/>
        <v>195</v>
      </c>
      <c r="M212">
        <v>0.31304005777766403</v>
      </c>
      <c r="N212">
        <f t="shared" si="15"/>
        <v>197</v>
      </c>
      <c r="O212">
        <v>207</v>
      </c>
      <c r="P212">
        <v>547.33333333333303</v>
      </c>
    </row>
    <row r="213" spans="1:16">
      <c r="A213" t="s">
        <v>615</v>
      </c>
      <c r="B213" t="s">
        <v>93</v>
      </c>
      <c r="C213" t="s">
        <v>616</v>
      </c>
      <c r="D213" t="s">
        <v>617</v>
      </c>
      <c r="E213">
        <v>7.1427509958309404E-2</v>
      </c>
      <c r="F213" t="s">
        <v>20</v>
      </c>
      <c r="G213">
        <v>0.144842481413998</v>
      </c>
      <c r="H213">
        <f t="shared" si="12"/>
        <v>207</v>
      </c>
      <c r="I213">
        <v>0.104946241762905</v>
      </c>
      <c r="J213">
        <f t="shared" si="13"/>
        <v>211</v>
      </c>
      <c r="K213">
        <v>8.3476985733009601E-2</v>
      </c>
      <c r="L213">
        <f t="shared" si="14"/>
        <v>213</v>
      </c>
      <c r="M213">
        <v>0.20056109971699601</v>
      </c>
      <c r="N213">
        <f t="shared" si="15"/>
        <v>205</v>
      </c>
      <c r="O213">
        <v>209</v>
      </c>
      <c r="P213">
        <v>13.3333333333333</v>
      </c>
    </row>
    <row r="214" spans="1:16">
      <c r="A214" t="s">
        <v>618</v>
      </c>
      <c r="B214" t="s">
        <v>93</v>
      </c>
      <c r="C214" t="s">
        <v>619</v>
      </c>
      <c r="D214" t="s">
        <v>620</v>
      </c>
      <c r="E214">
        <v>0.35560667188741801</v>
      </c>
      <c r="F214" t="s">
        <v>20</v>
      </c>
      <c r="G214">
        <v>0.13932115680524201</v>
      </c>
      <c r="H214">
        <f t="shared" si="12"/>
        <v>208</v>
      </c>
      <c r="I214">
        <v>0.100945743494437</v>
      </c>
      <c r="J214">
        <f t="shared" si="13"/>
        <v>212</v>
      </c>
      <c r="K214">
        <v>8.0294886274894103E-2</v>
      </c>
      <c r="L214">
        <f t="shared" si="14"/>
        <v>214</v>
      </c>
      <c r="M214">
        <v>0.19291586232551799</v>
      </c>
      <c r="N214">
        <f t="shared" si="15"/>
        <v>207</v>
      </c>
      <c r="O214">
        <v>210.25</v>
      </c>
      <c r="P214">
        <v>10.9166666666667</v>
      </c>
    </row>
    <row r="215" spans="1:16">
      <c r="A215" t="s">
        <v>621</v>
      </c>
      <c r="B215" t="s">
        <v>17</v>
      </c>
      <c r="C215" t="s">
        <v>622</v>
      </c>
      <c r="D215" t="s">
        <v>623</v>
      </c>
      <c r="E215">
        <v>2.1027603573353499E-2</v>
      </c>
      <c r="F215" t="s">
        <v>20</v>
      </c>
      <c r="G215">
        <v>7.4656886466436007E-2</v>
      </c>
      <c r="H215">
        <f t="shared" si="12"/>
        <v>216</v>
      </c>
      <c r="I215">
        <v>0.13160634802255999</v>
      </c>
      <c r="J215">
        <f t="shared" si="13"/>
        <v>209</v>
      </c>
      <c r="K215">
        <v>0.24222961312990501</v>
      </c>
      <c r="L215">
        <f t="shared" si="14"/>
        <v>204</v>
      </c>
      <c r="M215">
        <v>5.7032764059736799E-2</v>
      </c>
      <c r="N215">
        <f t="shared" si="15"/>
        <v>223</v>
      </c>
      <c r="O215">
        <v>213</v>
      </c>
      <c r="P215">
        <v>68.6666666666667</v>
      </c>
    </row>
    <row r="216" spans="1:16">
      <c r="A216" t="s">
        <v>624</v>
      </c>
      <c r="B216" t="s">
        <v>17</v>
      </c>
      <c r="C216" t="s">
        <v>625</v>
      </c>
      <c r="D216" t="s">
        <v>626</v>
      </c>
      <c r="E216">
        <v>7.5198619154536794E-2</v>
      </c>
      <c r="F216" t="s">
        <v>25</v>
      </c>
      <c r="G216">
        <v>5.1624783552111898E-2</v>
      </c>
      <c r="H216">
        <f t="shared" si="12"/>
        <v>221</v>
      </c>
      <c r="I216">
        <v>3.7404959001971501E-2</v>
      </c>
      <c r="J216">
        <f t="shared" si="13"/>
        <v>221</v>
      </c>
      <c r="K216">
        <v>0.46873081696728502</v>
      </c>
      <c r="L216">
        <f t="shared" si="14"/>
        <v>190</v>
      </c>
      <c r="M216">
        <v>7.1484043520008506E-2</v>
      </c>
      <c r="N216">
        <f t="shared" si="15"/>
        <v>221</v>
      </c>
      <c r="O216">
        <v>213.25</v>
      </c>
      <c r="P216">
        <v>240.25</v>
      </c>
    </row>
    <row r="217" spans="1:16">
      <c r="A217" t="s">
        <v>627</v>
      </c>
      <c r="B217" t="s">
        <v>93</v>
      </c>
      <c r="C217" t="s">
        <v>628</v>
      </c>
      <c r="D217" t="s">
        <v>629</v>
      </c>
      <c r="E217">
        <v>0.34984556305298098</v>
      </c>
      <c r="F217" t="s">
        <v>25</v>
      </c>
      <c r="G217">
        <v>9.6216880616562001E-2</v>
      </c>
      <c r="H217">
        <f t="shared" si="12"/>
        <v>211</v>
      </c>
      <c r="I217">
        <v>6.9064445418192399E-2</v>
      </c>
      <c r="J217">
        <f t="shared" si="13"/>
        <v>215</v>
      </c>
      <c r="K217">
        <v>5.6391182129387603E-2</v>
      </c>
      <c r="L217">
        <f t="shared" si="14"/>
        <v>215</v>
      </c>
      <c r="M217">
        <v>0.13455736916459499</v>
      </c>
      <c r="N217">
        <f t="shared" si="15"/>
        <v>215</v>
      </c>
      <c r="O217">
        <v>214</v>
      </c>
      <c r="P217">
        <v>4</v>
      </c>
    </row>
    <row r="218" spans="1:16">
      <c r="A218" t="s">
        <v>630</v>
      </c>
      <c r="B218" t="s">
        <v>17</v>
      </c>
      <c r="C218" t="s">
        <v>631</v>
      </c>
      <c r="D218" t="s">
        <v>631</v>
      </c>
      <c r="E218">
        <v>0.40893739201456702</v>
      </c>
      <c r="F218" t="s">
        <v>20</v>
      </c>
      <c r="G218">
        <v>7.4656886466436007E-2</v>
      </c>
      <c r="H218">
        <f t="shared" si="12"/>
        <v>216</v>
      </c>
      <c r="I218">
        <v>0.13160634802255999</v>
      </c>
      <c r="J218">
        <f t="shared" si="13"/>
        <v>209</v>
      </c>
      <c r="K218">
        <v>0.24222961312990501</v>
      </c>
      <c r="L218">
        <f t="shared" si="14"/>
        <v>204</v>
      </c>
      <c r="M218">
        <v>5.7032764059736799E-2</v>
      </c>
      <c r="N218">
        <f t="shared" si="15"/>
        <v>223</v>
      </c>
      <c r="O218">
        <v>214</v>
      </c>
      <c r="P218">
        <v>68.6666666666667</v>
      </c>
    </row>
    <row r="219" spans="1:16">
      <c r="A219" t="s">
        <v>632</v>
      </c>
      <c r="B219" t="s">
        <v>93</v>
      </c>
      <c r="C219" t="s">
        <v>633</v>
      </c>
      <c r="D219" t="s">
        <v>634</v>
      </c>
      <c r="E219">
        <v>5.8811451353941002E-2</v>
      </c>
      <c r="F219" t="s">
        <v>20</v>
      </c>
      <c r="G219">
        <v>7.6074633253825297E-2</v>
      </c>
      <c r="H219">
        <f t="shared" si="12"/>
        <v>214</v>
      </c>
      <c r="I219">
        <v>5.5120202781614301E-2</v>
      </c>
      <c r="J219">
        <f t="shared" si="13"/>
        <v>216</v>
      </c>
      <c r="K219">
        <v>4.3844051869732399E-2</v>
      </c>
      <c r="L219">
        <f t="shared" si="14"/>
        <v>217</v>
      </c>
      <c r="M219">
        <v>0.105339374232837</v>
      </c>
      <c r="N219">
        <f t="shared" si="15"/>
        <v>216</v>
      </c>
      <c r="O219">
        <v>215.75</v>
      </c>
      <c r="P219">
        <v>1.5833333333333299</v>
      </c>
    </row>
    <row r="220" spans="1:16">
      <c r="A220" t="s">
        <v>635</v>
      </c>
      <c r="B220" t="s">
        <v>93</v>
      </c>
      <c r="C220" t="s">
        <v>636</v>
      </c>
      <c r="D220" t="s">
        <v>637</v>
      </c>
      <c r="E220">
        <v>0.162561875125808</v>
      </c>
      <c r="F220" t="s">
        <v>20</v>
      </c>
      <c r="G220">
        <v>0.127332638496616</v>
      </c>
      <c r="H220">
        <f t="shared" si="12"/>
        <v>209</v>
      </c>
      <c r="I220">
        <v>9.2249233711117304E-2</v>
      </c>
      <c r="J220">
        <f t="shared" si="13"/>
        <v>214</v>
      </c>
      <c r="K220">
        <v>2.8563228525628301E-2</v>
      </c>
      <c r="L220">
        <f t="shared" si="14"/>
        <v>222</v>
      </c>
      <c r="M220">
        <v>6.9392391606983697E-2</v>
      </c>
      <c r="N220">
        <f t="shared" si="15"/>
        <v>222</v>
      </c>
      <c r="O220">
        <v>216.75</v>
      </c>
      <c r="P220">
        <v>40.9166666666667</v>
      </c>
    </row>
    <row r="221" spans="1:16">
      <c r="A221" t="s">
        <v>638</v>
      </c>
      <c r="B221" t="s">
        <v>93</v>
      </c>
      <c r="C221" t="s">
        <v>639</v>
      </c>
      <c r="D221" t="s">
        <v>640</v>
      </c>
      <c r="E221">
        <v>0.17742837316731699</v>
      </c>
      <c r="F221" t="s">
        <v>20</v>
      </c>
      <c r="G221">
        <v>7.6074633253825297E-2</v>
      </c>
      <c r="H221">
        <f t="shared" si="12"/>
        <v>214</v>
      </c>
      <c r="I221">
        <v>5.5120202781614301E-2</v>
      </c>
      <c r="J221">
        <f t="shared" si="13"/>
        <v>216</v>
      </c>
      <c r="K221">
        <v>4.3844051869732399E-2</v>
      </c>
      <c r="L221">
        <f t="shared" si="14"/>
        <v>217</v>
      </c>
      <c r="M221">
        <v>0.105339374232837</v>
      </c>
      <c r="N221">
        <f t="shared" si="15"/>
        <v>216</v>
      </c>
      <c r="O221">
        <v>216.75</v>
      </c>
      <c r="P221">
        <v>1.5833333333333299</v>
      </c>
    </row>
    <row r="222" spans="1:16">
      <c r="A222" t="s">
        <v>641</v>
      </c>
      <c r="B222" t="s">
        <v>93</v>
      </c>
      <c r="C222" t="s">
        <v>642</v>
      </c>
      <c r="D222" t="s">
        <v>643</v>
      </c>
      <c r="E222">
        <v>0.26253493943163397</v>
      </c>
      <c r="F222" t="s">
        <v>25</v>
      </c>
      <c r="G222">
        <v>7.2419687301569599E-2</v>
      </c>
      <c r="H222">
        <f t="shared" si="12"/>
        <v>218</v>
      </c>
      <c r="I222">
        <v>5.2471995559602497E-2</v>
      </c>
      <c r="J222">
        <f t="shared" si="13"/>
        <v>218</v>
      </c>
      <c r="K222">
        <v>4.1737598016650702E-2</v>
      </c>
      <c r="L222">
        <f t="shared" si="14"/>
        <v>219</v>
      </c>
      <c r="M222">
        <v>0.100278408189705</v>
      </c>
      <c r="N222">
        <f t="shared" si="15"/>
        <v>218</v>
      </c>
      <c r="O222">
        <v>218.25</v>
      </c>
      <c r="P222">
        <v>0.25</v>
      </c>
    </row>
    <row r="223" spans="1:16">
      <c r="A223" t="s">
        <v>644</v>
      </c>
      <c r="B223" t="s">
        <v>93</v>
      </c>
      <c r="C223" t="s">
        <v>645</v>
      </c>
      <c r="D223" t="s">
        <v>646</v>
      </c>
      <c r="E223">
        <v>6.9844344753278702E-3</v>
      </c>
      <c r="F223" t="s">
        <v>20</v>
      </c>
      <c r="G223">
        <v>6.9573661122576402E-2</v>
      </c>
      <c r="H223">
        <f t="shared" si="12"/>
        <v>219</v>
      </c>
      <c r="I223">
        <v>5.04098954580618E-2</v>
      </c>
      <c r="J223">
        <f t="shared" si="13"/>
        <v>219</v>
      </c>
      <c r="K223">
        <v>4.0097350148868997E-2</v>
      </c>
      <c r="L223">
        <f t="shared" si="14"/>
        <v>220</v>
      </c>
      <c r="M223">
        <v>9.6337578142332306E-2</v>
      </c>
      <c r="N223">
        <f t="shared" si="15"/>
        <v>219</v>
      </c>
      <c r="O223">
        <v>219.25</v>
      </c>
      <c r="P223">
        <v>0.25</v>
      </c>
    </row>
    <row r="224" spans="1:16">
      <c r="A224" t="s">
        <v>647</v>
      </c>
      <c r="B224" t="s">
        <v>93</v>
      </c>
      <c r="C224" t="s">
        <v>648</v>
      </c>
      <c r="D224" t="s">
        <v>649</v>
      </c>
      <c r="E224">
        <v>0.20078034847382301</v>
      </c>
      <c r="F224" t="s">
        <v>20</v>
      </c>
      <c r="G224">
        <v>5.2649536644235898E-2</v>
      </c>
      <c r="H224">
        <f t="shared" si="12"/>
        <v>220</v>
      </c>
      <c r="I224">
        <v>3.8147448263148698E-2</v>
      </c>
      <c r="J224">
        <f t="shared" si="13"/>
        <v>220</v>
      </c>
      <c r="K224">
        <v>3.03434787236544E-2</v>
      </c>
      <c r="L224">
        <f t="shared" si="14"/>
        <v>221</v>
      </c>
      <c r="M224">
        <v>7.2903003360502705E-2</v>
      </c>
      <c r="N224">
        <f t="shared" si="15"/>
        <v>220</v>
      </c>
      <c r="O224">
        <v>220.25</v>
      </c>
      <c r="P224">
        <v>0.25</v>
      </c>
    </row>
    <row r="225" spans="1:16">
      <c r="A225" t="s">
        <v>650</v>
      </c>
      <c r="B225" t="s">
        <v>93</v>
      </c>
      <c r="C225" t="s">
        <v>651</v>
      </c>
      <c r="D225" t="s">
        <v>652</v>
      </c>
      <c r="E225">
        <v>0.16588812002782799</v>
      </c>
      <c r="F225" t="s">
        <v>20</v>
      </c>
      <c r="G225">
        <v>3.6604195756114503E-2</v>
      </c>
      <c r="H225">
        <f t="shared" si="12"/>
        <v>223</v>
      </c>
      <c r="I225">
        <v>2.65169031211979E-2</v>
      </c>
      <c r="J225">
        <f t="shared" si="13"/>
        <v>222</v>
      </c>
      <c r="K225">
        <v>2.1086072394493501E-2</v>
      </c>
      <c r="L225">
        <f t="shared" si="14"/>
        <v>224</v>
      </c>
      <c r="M225">
        <v>5.0465939047579199E-2</v>
      </c>
      <c r="N225">
        <f t="shared" si="15"/>
        <v>225</v>
      </c>
      <c r="O225">
        <v>223.5</v>
      </c>
      <c r="P225">
        <v>1.6666666666666701</v>
      </c>
    </row>
    <row r="226" spans="1:16">
      <c r="A226" t="s">
        <v>653</v>
      </c>
      <c r="B226" t="s">
        <v>93</v>
      </c>
      <c r="C226" t="s">
        <v>654</v>
      </c>
      <c r="D226" t="s">
        <v>655</v>
      </c>
      <c r="E226">
        <v>6.1372151647251801E-2</v>
      </c>
      <c r="F226" t="s">
        <v>20</v>
      </c>
      <c r="G226">
        <v>2.0579171518479498E-3</v>
      </c>
      <c r="H226">
        <f t="shared" si="12"/>
        <v>241</v>
      </c>
      <c r="I226">
        <v>1.5114272664006701E-3</v>
      </c>
      <c r="J226">
        <f t="shared" si="13"/>
        <v>239</v>
      </c>
      <c r="K226">
        <v>9.1468828246985795E-2</v>
      </c>
      <c r="L226">
        <f t="shared" si="14"/>
        <v>212</v>
      </c>
      <c r="M226">
        <v>0.216695873946324</v>
      </c>
      <c r="N226">
        <f t="shared" si="15"/>
        <v>204</v>
      </c>
      <c r="O226">
        <v>224</v>
      </c>
      <c r="P226">
        <v>352.66666666666703</v>
      </c>
    </row>
    <row r="227" spans="1:16">
      <c r="A227" t="s">
        <v>656</v>
      </c>
      <c r="B227" t="s">
        <v>93</v>
      </c>
      <c r="C227" t="s">
        <v>657</v>
      </c>
      <c r="D227" t="s">
        <v>658</v>
      </c>
      <c r="E227">
        <v>0.34223727054115899</v>
      </c>
      <c r="F227" t="s">
        <v>20</v>
      </c>
      <c r="G227">
        <v>3.65979821343961E-2</v>
      </c>
      <c r="H227">
        <f t="shared" si="12"/>
        <v>224</v>
      </c>
      <c r="I227">
        <v>2.65124018337979E-2</v>
      </c>
      <c r="J227">
        <f t="shared" si="13"/>
        <v>223</v>
      </c>
      <c r="K227">
        <v>2.10825186703219E-2</v>
      </c>
      <c r="L227">
        <f t="shared" si="14"/>
        <v>225</v>
      </c>
      <c r="M227">
        <v>5.0457372372408799E-2</v>
      </c>
      <c r="N227">
        <f t="shared" si="15"/>
        <v>226</v>
      </c>
      <c r="O227">
        <v>224.5</v>
      </c>
      <c r="P227">
        <v>1.6666666666666701</v>
      </c>
    </row>
    <row r="228" spans="1:16">
      <c r="A228" t="s">
        <v>659</v>
      </c>
      <c r="B228" t="s">
        <v>93</v>
      </c>
      <c r="C228" t="s">
        <v>660</v>
      </c>
      <c r="D228" t="s">
        <v>661</v>
      </c>
      <c r="E228">
        <v>9.1701011515391093E-3</v>
      </c>
      <c r="F228" t="s">
        <v>20</v>
      </c>
      <c r="G228">
        <v>3.50996910961573E-2</v>
      </c>
      <c r="H228">
        <f t="shared" si="12"/>
        <v>225</v>
      </c>
      <c r="I228">
        <v>2.5431632175432501E-2</v>
      </c>
      <c r="J228">
        <f t="shared" si="13"/>
        <v>224</v>
      </c>
      <c r="K228">
        <v>2.0228985815769599E-2</v>
      </c>
      <c r="L228">
        <f t="shared" si="14"/>
        <v>226</v>
      </c>
      <c r="M228">
        <v>4.8602002240335201E-2</v>
      </c>
      <c r="N228">
        <f t="shared" si="15"/>
        <v>227</v>
      </c>
      <c r="O228">
        <v>225.5</v>
      </c>
      <c r="P228">
        <v>1.6666666666666701</v>
      </c>
    </row>
    <row r="229" spans="1:16">
      <c r="A229" t="s">
        <v>662</v>
      </c>
      <c r="B229" t="s">
        <v>93</v>
      </c>
      <c r="C229" t="s">
        <v>663</v>
      </c>
      <c r="D229" t="s">
        <v>664</v>
      </c>
      <c r="E229">
        <v>0.14078075789147901</v>
      </c>
      <c r="F229" t="s">
        <v>25</v>
      </c>
      <c r="G229">
        <v>3.46691300778941E-2</v>
      </c>
      <c r="H229">
        <f t="shared" si="12"/>
        <v>226</v>
      </c>
      <c r="I229">
        <v>2.5119667337464201E-2</v>
      </c>
      <c r="J229">
        <f t="shared" si="13"/>
        <v>225</v>
      </c>
      <c r="K229">
        <v>1.99808408190684E-2</v>
      </c>
      <c r="L229">
        <f t="shared" si="14"/>
        <v>227</v>
      </c>
      <c r="M229">
        <v>4.80058110226717E-2</v>
      </c>
      <c r="N229">
        <f t="shared" si="15"/>
        <v>228</v>
      </c>
      <c r="O229">
        <v>226.5</v>
      </c>
      <c r="P229">
        <v>1.6666666666666701</v>
      </c>
    </row>
    <row r="230" spans="1:16">
      <c r="A230" t="s">
        <v>665</v>
      </c>
      <c r="B230" t="s">
        <v>93</v>
      </c>
      <c r="C230" t="s">
        <v>666</v>
      </c>
      <c r="D230" t="s">
        <v>667</v>
      </c>
      <c r="E230">
        <v>0.15307706102889501</v>
      </c>
      <c r="F230" t="s">
        <v>25</v>
      </c>
      <c r="G230">
        <v>3.3539205437310898E-2</v>
      </c>
      <c r="H230">
        <f t="shared" si="12"/>
        <v>227</v>
      </c>
      <c r="I230">
        <v>2.4300975578424401E-2</v>
      </c>
      <c r="J230">
        <f t="shared" si="13"/>
        <v>226</v>
      </c>
      <c r="K230">
        <v>1.9329631967553801E-2</v>
      </c>
      <c r="L230">
        <f t="shared" si="14"/>
        <v>228</v>
      </c>
      <c r="M230">
        <v>4.6441221757125603E-2</v>
      </c>
      <c r="N230">
        <f t="shared" si="15"/>
        <v>229</v>
      </c>
      <c r="O230">
        <v>227.5</v>
      </c>
      <c r="P230">
        <v>1.6666666666666701</v>
      </c>
    </row>
    <row r="231" spans="1:16">
      <c r="A231" t="s">
        <v>668</v>
      </c>
      <c r="B231" t="s">
        <v>93</v>
      </c>
      <c r="C231" t="s">
        <v>669</v>
      </c>
      <c r="D231" t="s">
        <v>669</v>
      </c>
      <c r="E231">
        <v>0.28824167700120401</v>
      </c>
      <c r="F231" t="s">
        <v>20</v>
      </c>
      <c r="G231">
        <v>9.3150158653406093E-3</v>
      </c>
      <c r="H231">
        <f t="shared" si="12"/>
        <v>229</v>
      </c>
      <c r="I231">
        <v>6.7271957139670904E-3</v>
      </c>
      <c r="J231">
        <f t="shared" si="13"/>
        <v>227</v>
      </c>
      <c r="K231">
        <v>5.3252548729655E-3</v>
      </c>
      <c r="L231">
        <f t="shared" si="14"/>
        <v>230</v>
      </c>
      <c r="M231">
        <v>1.2923106846891399E-2</v>
      </c>
      <c r="N231">
        <f t="shared" si="15"/>
        <v>230</v>
      </c>
      <c r="O231">
        <v>229</v>
      </c>
      <c r="P231">
        <v>2</v>
      </c>
    </row>
    <row r="232" spans="1:16">
      <c r="A232" t="s">
        <v>670</v>
      </c>
      <c r="B232" t="s">
        <v>93</v>
      </c>
      <c r="C232" t="s">
        <v>671</v>
      </c>
      <c r="D232" t="s">
        <v>672</v>
      </c>
      <c r="E232">
        <v>0.11266744525440101</v>
      </c>
      <c r="F232" t="s">
        <v>179</v>
      </c>
      <c r="G232">
        <v>5.8155044057214503E-3</v>
      </c>
      <c r="H232">
        <f t="shared" si="12"/>
        <v>230</v>
      </c>
      <c r="I232">
        <v>4.2136487342792298E-3</v>
      </c>
      <c r="J232">
        <f t="shared" si="13"/>
        <v>228</v>
      </c>
      <c r="K232">
        <v>3.35164648066559E-3</v>
      </c>
      <c r="L232">
        <f t="shared" si="14"/>
        <v>231</v>
      </c>
      <c r="M232">
        <v>8.0526394771176998E-3</v>
      </c>
      <c r="N232">
        <f t="shared" si="15"/>
        <v>231</v>
      </c>
      <c r="O232">
        <v>230</v>
      </c>
      <c r="P232">
        <v>2</v>
      </c>
    </row>
    <row r="233" spans="1:16">
      <c r="A233" t="s">
        <v>673</v>
      </c>
      <c r="B233" t="s">
        <v>93</v>
      </c>
      <c r="C233" t="s">
        <v>674</v>
      </c>
      <c r="D233" t="s">
        <v>675</v>
      </c>
      <c r="E233">
        <v>0.38280609945028099</v>
      </c>
      <c r="F233" t="s">
        <v>179</v>
      </c>
      <c r="G233">
        <v>5.8155044057214503E-3</v>
      </c>
      <c r="H233">
        <f t="shared" si="12"/>
        <v>230</v>
      </c>
      <c r="I233">
        <v>4.2136487342792298E-3</v>
      </c>
      <c r="J233">
        <f t="shared" si="13"/>
        <v>228</v>
      </c>
      <c r="K233">
        <v>3.35164648066559E-3</v>
      </c>
      <c r="L233">
        <f t="shared" si="14"/>
        <v>231</v>
      </c>
      <c r="M233">
        <v>8.0526394771176998E-3</v>
      </c>
      <c r="N233">
        <f t="shared" si="15"/>
        <v>231</v>
      </c>
      <c r="O233">
        <v>231</v>
      </c>
      <c r="P233">
        <v>2</v>
      </c>
    </row>
    <row r="234" spans="1:16">
      <c r="A234" t="s">
        <v>676</v>
      </c>
      <c r="B234" t="s">
        <v>93</v>
      </c>
      <c r="C234" t="s">
        <v>677</v>
      </c>
      <c r="D234" t="s">
        <v>678</v>
      </c>
      <c r="E234">
        <v>0.25069185269274102</v>
      </c>
      <c r="F234" t="s">
        <v>179</v>
      </c>
      <c r="G234">
        <v>5.8155044057214503E-3</v>
      </c>
      <c r="H234">
        <f t="shared" si="12"/>
        <v>230</v>
      </c>
      <c r="I234">
        <v>4.2136487342792298E-3</v>
      </c>
      <c r="J234">
        <f t="shared" si="13"/>
        <v>228</v>
      </c>
      <c r="K234">
        <v>3.35164648066559E-3</v>
      </c>
      <c r="L234">
        <f t="shared" si="14"/>
        <v>231</v>
      </c>
      <c r="M234">
        <v>8.0526394771176998E-3</v>
      </c>
      <c r="N234">
        <f t="shared" si="15"/>
        <v>231</v>
      </c>
      <c r="O234">
        <v>232</v>
      </c>
      <c r="P234">
        <v>2</v>
      </c>
    </row>
    <row r="235" spans="1:16">
      <c r="A235" t="s">
        <v>679</v>
      </c>
      <c r="B235" t="s">
        <v>93</v>
      </c>
      <c r="C235" t="s">
        <v>680</v>
      </c>
      <c r="D235" t="s">
        <v>681</v>
      </c>
      <c r="E235">
        <v>0.13205446895627501</v>
      </c>
      <c r="F235" t="s">
        <v>179</v>
      </c>
      <c r="G235">
        <v>5.8155044057214503E-3</v>
      </c>
      <c r="H235">
        <f t="shared" si="12"/>
        <v>230</v>
      </c>
      <c r="I235">
        <v>4.2136487342792298E-3</v>
      </c>
      <c r="J235">
        <f t="shared" si="13"/>
        <v>228</v>
      </c>
      <c r="K235">
        <v>3.35164648066559E-3</v>
      </c>
      <c r="L235">
        <f t="shared" si="14"/>
        <v>231</v>
      </c>
      <c r="M235">
        <v>8.0526394771176998E-3</v>
      </c>
      <c r="N235">
        <f t="shared" si="15"/>
        <v>231</v>
      </c>
      <c r="O235">
        <v>233</v>
      </c>
      <c r="P235">
        <v>2</v>
      </c>
    </row>
    <row r="236" spans="1:16">
      <c r="A236" t="s">
        <v>682</v>
      </c>
      <c r="B236" t="s">
        <v>93</v>
      </c>
      <c r="C236" t="s">
        <v>683</v>
      </c>
      <c r="D236" t="s">
        <v>683</v>
      </c>
      <c r="E236">
        <v>0.26075375343687102</v>
      </c>
      <c r="F236" t="s">
        <v>20</v>
      </c>
      <c r="G236">
        <v>5.3131881258186402E-3</v>
      </c>
      <c r="H236">
        <f t="shared" si="12"/>
        <v>234</v>
      </c>
      <c r="I236">
        <v>3.84969331281347E-3</v>
      </c>
      <c r="J236">
        <f t="shared" si="13"/>
        <v>232</v>
      </c>
      <c r="K236">
        <v>3.0621468131800098E-3</v>
      </c>
      <c r="L236">
        <f t="shared" si="14"/>
        <v>235</v>
      </c>
      <c r="M236">
        <v>7.3570898526406402E-3</v>
      </c>
      <c r="N236">
        <f t="shared" si="15"/>
        <v>235</v>
      </c>
      <c r="O236">
        <v>234</v>
      </c>
      <c r="P236">
        <v>2</v>
      </c>
    </row>
    <row r="237" spans="1:16">
      <c r="A237" t="s">
        <v>684</v>
      </c>
      <c r="B237" t="s">
        <v>93</v>
      </c>
      <c r="C237" t="s">
        <v>685</v>
      </c>
      <c r="D237" t="s">
        <v>685</v>
      </c>
      <c r="E237">
        <v>8.4688490798126195E-2</v>
      </c>
      <c r="F237" t="s">
        <v>20</v>
      </c>
      <c r="G237">
        <v>4.0593278561579203E-3</v>
      </c>
      <c r="H237">
        <f t="shared" si="12"/>
        <v>235</v>
      </c>
      <c r="I237">
        <v>2.9412034605796702E-3</v>
      </c>
      <c r="J237">
        <f t="shared" si="13"/>
        <v>233</v>
      </c>
      <c r="K237">
        <v>2.02043675377703E-3</v>
      </c>
      <c r="L237">
        <f t="shared" si="14"/>
        <v>237</v>
      </c>
      <c r="M237">
        <v>5.6208888283020104E-3</v>
      </c>
      <c r="N237">
        <f t="shared" si="15"/>
        <v>236</v>
      </c>
      <c r="O237">
        <v>235.25</v>
      </c>
      <c r="P237">
        <v>2.9166666666666701</v>
      </c>
    </row>
    <row r="238" spans="1:16">
      <c r="A238" t="s">
        <v>686</v>
      </c>
      <c r="B238" t="s">
        <v>93</v>
      </c>
      <c r="C238" t="s">
        <v>687</v>
      </c>
      <c r="D238" t="s">
        <v>688</v>
      </c>
      <c r="E238">
        <v>0.38096162364529201</v>
      </c>
      <c r="F238" t="s">
        <v>20</v>
      </c>
      <c r="G238">
        <v>4.0593278561579203E-3</v>
      </c>
      <c r="H238">
        <f t="shared" si="12"/>
        <v>235</v>
      </c>
      <c r="I238">
        <v>2.9412034605796702E-3</v>
      </c>
      <c r="J238">
        <f t="shared" si="13"/>
        <v>233</v>
      </c>
      <c r="K238">
        <v>2.02043675377703E-3</v>
      </c>
      <c r="L238">
        <f t="shared" si="14"/>
        <v>237</v>
      </c>
      <c r="M238">
        <v>5.6208888283020104E-3</v>
      </c>
      <c r="N238">
        <f t="shared" si="15"/>
        <v>236</v>
      </c>
      <c r="O238">
        <v>236.25</v>
      </c>
      <c r="P238">
        <v>2.9166666666666701</v>
      </c>
    </row>
    <row r="239" spans="1:16">
      <c r="A239" t="s">
        <v>689</v>
      </c>
      <c r="B239" t="s">
        <v>93</v>
      </c>
      <c r="C239" t="s">
        <v>690</v>
      </c>
      <c r="D239" t="s">
        <v>691</v>
      </c>
      <c r="E239">
        <v>0.36832595412753499</v>
      </c>
      <c r="F239" t="s">
        <v>25</v>
      </c>
      <c r="G239">
        <v>3.82415446318333E-3</v>
      </c>
      <c r="H239">
        <f t="shared" si="12"/>
        <v>237</v>
      </c>
      <c r="I239">
        <v>2.7456275754300899E-3</v>
      </c>
      <c r="J239">
        <f t="shared" si="13"/>
        <v>235</v>
      </c>
      <c r="K239">
        <v>2.1838315385943798E-3</v>
      </c>
      <c r="L239">
        <f t="shared" si="14"/>
        <v>236</v>
      </c>
      <c r="M239">
        <v>5.2800130270283501E-3</v>
      </c>
      <c r="N239">
        <f t="shared" si="15"/>
        <v>238</v>
      </c>
      <c r="O239">
        <v>236.5</v>
      </c>
      <c r="P239">
        <v>1.6666666666666701</v>
      </c>
    </row>
    <row r="240" spans="1:16">
      <c r="A240" t="s">
        <v>692</v>
      </c>
      <c r="B240" t="s">
        <v>93</v>
      </c>
      <c r="C240" t="s">
        <v>693</v>
      </c>
      <c r="D240" t="s">
        <v>694</v>
      </c>
      <c r="E240">
        <v>6.9972542994127501E-2</v>
      </c>
      <c r="F240" t="s">
        <v>48</v>
      </c>
      <c r="G240">
        <v>2.6494414298828201E-3</v>
      </c>
      <c r="H240">
        <f t="shared" si="12"/>
        <v>238</v>
      </c>
      <c r="I240">
        <v>1.9196641853782099E-3</v>
      </c>
      <c r="J240">
        <f t="shared" si="13"/>
        <v>236</v>
      </c>
      <c r="K240">
        <v>1.5269511335009899E-3</v>
      </c>
      <c r="L240">
        <f t="shared" si="14"/>
        <v>239</v>
      </c>
      <c r="M240">
        <v>3.6686407854141798E-3</v>
      </c>
      <c r="N240">
        <f t="shared" si="15"/>
        <v>239</v>
      </c>
      <c r="O240">
        <v>238.25</v>
      </c>
      <c r="P240">
        <v>2.9166666666666701</v>
      </c>
    </row>
    <row r="241" spans="1:16">
      <c r="A241" t="s">
        <v>695</v>
      </c>
      <c r="B241" t="s">
        <v>112</v>
      </c>
      <c r="C241" t="s">
        <v>696</v>
      </c>
      <c r="D241" t="s">
        <v>697</v>
      </c>
      <c r="E241">
        <v>9.8140668259958999E-2</v>
      </c>
      <c r="F241" t="s">
        <v>20</v>
      </c>
      <c r="G241">
        <v>2.6494414298828201E-3</v>
      </c>
      <c r="H241">
        <f t="shared" si="12"/>
        <v>238</v>
      </c>
      <c r="I241">
        <v>1.9196641853782099E-3</v>
      </c>
      <c r="J241">
        <f t="shared" si="13"/>
        <v>236</v>
      </c>
      <c r="K241">
        <v>1.5269511335009899E-3</v>
      </c>
      <c r="L241">
        <f t="shared" si="14"/>
        <v>239</v>
      </c>
      <c r="M241">
        <v>3.6686407854141798E-3</v>
      </c>
      <c r="N241">
        <f t="shared" si="15"/>
        <v>239</v>
      </c>
      <c r="O241">
        <v>238.75</v>
      </c>
      <c r="P241">
        <v>1.5833333333333299</v>
      </c>
    </row>
    <row r="242" spans="1:16">
      <c r="A242" t="s">
        <v>698</v>
      </c>
      <c r="B242" t="s">
        <v>93</v>
      </c>
      <c r="C242" t="s">
        <v>699</v>
      </c>
      <c r="D242" t="s">
        <v>700</v>
      </c>
      <c r="E242">
        <v>8.7929650594142407E-3</v>
      </c>
      <c r="F242" t="s">
        <v>25</v>
      </c>
      <c r="G242">
        <v>2.60136647402405E-3</v>
      </c>
      <c r="H242">
        <f t="shared" si="12"/>
        <v>240</v>
      </c>
      <c r="I242">
        <v>1.88483126930209E-3</v>
      </c>
      <c r="J242">
        <f t="shared" si="13"/>
        <v>238</v>
      </c>
      <c r="K242">
        <v>1.4992441204251001E-3</v>
      </c>
      <c r="L242">
        <f t="shared" si="14"/>
        <v>241</v>
      </c>
      <c r="M242">
        <v>3.6020721336858501E-3</v>
      </c>
      <c r="N242">
        <f t="shared" si="15"/>
        <v>241</v>
      </c>
      <c r="O242">
        <v>240</v>
      </c>
      <c r="P242">
        <v>2</v>
      </c>
    </row>
    <row r="243" spans="1:16">
      <c r="A243" t="s">
        <v>701</v>
      </c>
      <c r="B243" t="s">
        <v>93</v>
      </c>
      <c r="C243" t="s">
        <v>702</v>
      </c>
      <c r="D243" t="s">
        <v>703</v>
      </c>
      <c r="E243">
        <v>0.44285604855702199</v>
      </c>
      <c r="F243" t="s">
        <v>25</v>
      </c>
      <c r="G243">
        <v>1.93124967741683E-3</v>
      </c>
      <c r="H243">
        <f t="shared" si="12"/>
        <v>242</v>
      </c>
      <c r="I243">
        <v>1.3992952616145599E-3</v>
      </c>
      <c r="J243">
        <f t="shared" si="13"/>
        <v>240</v>
      </c>
      <c r="K243">
        <v>1.1130360727149499E-3</v>
      </c>
      <c r="L243">
        <f t="shared" si="14"/>
        <v>242</v>
      </c>
      <c r="M243">
        <v>2.6741717153954E-3</v>
      </c>
      <c r="N243">
        <f t="shared" si="15"/>
        <v>242</v>
      </c>
      <c r="O243">
        <v>241.5</v>
      </c>
      <c r="P243">
        <v>1</v>
      </c>
    </row>
    <row r="244" spans="1:16">
      <c r="A244" t="s">
        <v>704</v>
      </c>
      <c r="B244" t="s">
        <v>93</v>
      </c>
      <c r="C244" t="s">
        <v>705</v>
      </c>
      <c r="D244" t="s">
        <v>706</v>
      </c>
      <c r="E244">
        <v>0.33918840145941898</v>
      </c>
      <c r="F244" t="s">
        <v>25</v>
      </c>
      <c r="G244">
        <v>6.4374989247227695E-4</v>
      </c>
      <c r="H244">
        <f t="shared" si="12"/>
        <v>243</v>
      </c>
      <c r="I244">
        <v>4.6643175387151898E-4</v>
      </c>
      <c r="J244">
        <f t="shared" si="13"/>
        <v>243</v>
      </c>
      <c r="K244">
        <v>3.7101202423831599E-4</v>
      </c>
      <c r="L244">
        <f t="shared" si="14"/>
        <v>243</v>
      </c>
      <c r="M244">
        <v>8.9139057179846496E-4</v>
      </c>
      <c r="N244">
        <f t="shared" si="15"/>
        <v>243</v>
      </c>
      <c r="O244">
        <v>243</v>
      </c>
      <c r="P244">
        <v>0</v>
      </c>
    </row>
    <row r="245" spans="1:16">
      <c r="A245" t="s">
        <v>707</v>
      </c>
      <c r="B245" t="s">
        <v>93</v>
      </c>
      <c r="C245" t="s">
        <v>708</v>
      </c>
      <c r="D245" t="s">
        <v>708</v>
      </c>
      <c r="E245">
        <v>0.24635202397279701</v>
      </c>
      <c r="F245" t="s">
        <v>25</v>
      </c>
      <c r="G245">
        <v>5.8361358564462001E-4</v>
      </c>
      <c r="H245">
        <f t="shared" si="12"/>
        <v>244</v>
      </c>
      <c r="I245">
        <v>4.2285973406541402E-4</v>
      </c>
      <c r="J245">
        <f t="shared" si="13"/>
        <v>244</v>
      </c>
      <c r="K245">
        <v>3.36353699340333E-4</v>
      </c>
      <c r="L245">
        <f t="shared" si="14"/>
        <v>244</v>
      </c>
      <c r="M245">
        <v>8.08120752951448E-4</v>
      </c>
      <c r="N245">
        <f t="shared" si="15"/>
        <v>244</v>
      </c>
      <c r="O245">
        <v>244</v>
      </c>
      <c r="P245">
        <v>0</v>
      </c>
    </row>
    <row r="246" spans="1:16">
      <c r="A246" t="s">
        <v>709</v>
      </c>
      <c r="B246" t="s">
        <v>17</v>
      </c>
      <c r="C246" t="s">
        <v>710</v>
      </c>
      <c r="D246" t="s">
        <v>711</v>
      </c>
      <c r="E246">
        <v>1.1757799053794999</v>
      </c>
      <c r="F246" t="s">
        <v>25</v>
      </c>
      <c r="G246">
        <v>5.2612678653468701E-4</v>
      </c>
      <c r="H246">
        <f t="shared" si="12"/>
        <v>245</v>
      </c>
      <c r="I246">
        <v>3.7652600383642198E-4</v>
      </c>
      <c r="J246">
        <f t="shared" si="13"/>
        <v>245</v>
      </c>
      <c r="K246">
        <v>2.9353993710715798E-4</v>
      </c>
      <c r="L246">
        <f t="shared" si="14"/>
        <v>245</v>
      </c>
      <c r="M246">
        <v>5.1569109372659797E-4</v>
      </c>
      <c r="N246">
        <f t="shared" si="15"/>
        <v>245</v>
      </c>
      <c r="O246">
        <v>245</v>
      </c>
      <c r="P246">
        <v>0</v>
      </c>
    </row>
    <row r="247" spans="1:16">
      <c r="A247" t="s">
        <v>712</v>
      </c>
      <c r="B247" t="s">
        <v>93</v>
      </c>
      <c r="C247" t="s">
        <v>713</v>
      </c>
      <c r="D247" t="s">
        <v>714</v>
      </c>
      <c r="E247">
        <v>4.43309050107666E-2</v>
      </c>
      <c r="F247" t="s">
        <v>25</v>
      </c>
      <c r="G247">
        <v>1.8370935268491101E-4</v>
      </c>
      <c r="H247">
        <f t="shared" si="12"/>
        <v>246</v>
      </c>
      <c r="I247">
        <v>1.3310740176654501E-4</v>
      </c>
      <c r="J247">
        <f t="shared" si="13"/>
        <v>246</v>
      </c>
      <c r="K247">
        <v>1.0587711098312899E-4</v>
      </c>
      <c r="L247">
        <f t="shared" si="14"/>
        <v>246</v>
      </c>
      <c r="M247">
        <v>2.5437951423296502E-4</v>
      </c>
      <c r="N247">
        <f t="shared" si="15"/>
        <v>246</v>
      </c>
      <c r="O247">
        <v>246</v>
      </c>
      <c r="P247">
        <v>0</v>
      </c>
    </row>
    <row r="248" spans="1:16">
      <c r="A248" t="s">
        <v>715</v>
      </c>
      <c r="B248" t="s">
        <v>93</v>
      </c>
      <c r="C248" t="s">
        <v>716</v>
      </c>
      <c r="D248" t="s">
        <v>716</v>
      </c>
      <c r="E248">
        <v>0.118501773886835</v>
      </c>
      <c r="F248" t="s">
        <v>25</v>
      </c>
      <c r="G248" s="1">
        <v>1.22431671696721E-5</v>
      </c>
      <c r="H248">
        <f t="shared" si="12"/>
        <v>247</v>
      </c>
      <c r="I248" s="1">
        <v>8.8708394427885296E-6</v>
      </c>
      <c r="J248">
        <f t="shared" si="13"/>
        <v>247</v>
      </c>
      <c r="K248" s="1">
        <v>7.05609785343297E-6</v>
      </c>
      <c r="L248">
        <f t="shared" si="14"/>
        <v>247</v>
      </c>
      <c r="M248" s="1">
        <v>1.7133350341252801E-5</v>
      </c>
      <c r="N248">
        <f t="shared" si="15"/>
        <v>247</v>
      </c>
      <c r="O248">
        <v>247</v>
      </c>
      <c r="P248">
        <v>0</v>
      </c>
    </row>
    <row r="249" spans="1:16">
      <c r="A249" t="s">
        <v>717</v>
      </c>
      <c r="B249" t="s">
        <v>93</v>
      </c>
      <c r="C249" t="s">
        <v>718</v>
      </c>
      <c r="D249" t="s">
        <v>719</v>
      </c>
      <c r="E249">
        <v>0.126864089143123</v>
      </c>
      <c r="F249" t="s">
        <v>20</v>
      </c>
      <c r="G249" s="1">
        <v>6.2136217185153098E-6</v>
      </c>
      <c r="H249">
        <f t="shared" si="12"/>
        <v>248</v>
      </c>
      <c r="I249" s="1">
        <v>4.5012873999238403E-6</v>
      </c>
      <c r="J249">
        <f t="shared" si="13"/>
        <v>248</v>
      </c>
      <c r="K249" s="1">
        <v>3.57939941632911E-6</v>
      </c>
      <c r="L249">
        <f t="shared" si="14"/>
        <v>248</v>
      </c>
      <c r="M249" s="1">
        <v>8.5666751702462503E-6</v>
      </c>
      <c r="N249">
        <f t="shared" si="15"/>
        <v>248</v>
      </c>
      <c r="O249">
        <v>248</v>
      </c>
      <c r="P249">
        <v>0</v>
      </c>
    </row>
    <row r="250" spans="1:16">
      <c r="A250" t="s">
        <v>720</v>
      </c>
      <c r="B250" t="s">
        <v>93</v>
      </c>
      <c r="C250" t="s">
        <v>721</v>
      </c>
      <c r="D250" t="s">
        <v>722</v>
      </c>
      <c r="E250">
        <v>9.5663056157862497E-2</v>
      </c>
      <c r="F250" t="s">
        <v>25</v>
      </c>
      <c r="G250" s="1">
        <v>6.1215835849699397E-6</v>
      </c>
      <c r="H250">
        <f t="shared" si="12"/>
        <v>251</v>
      </c>
      <c r="I250" s="1">
        <v>4.4354197202939199E-6</v>
      </c>
      <c r="J250">
        <f t="shared" si="13"/>
        <v>251</v>
      </c>
      <c r="K250" s="1">
        <v>3.5280489270164101E-6</v>
      </c>
      <c r="L250">
        <f t="shared" si="14"/>
        <v>249</v>
      </c>
      <c r="M250" s="1">
        <v>8.4764626074923198E-6</v>
      </c>
      <c r="N250">
        <f t="shared" si="15"/>
        <v>249</v>
      </c>
      <c r="O250">
        <v>250</v>
      </c>
      <c r="P250">
        <v>1.3333333333333299</v>
      </c>
    </row>
    <row r="251" spans="1:16">
      <c r="A251" t="s">
        <v>723</v>
      </c>
      <c r="B251" t="s">
        <v>93</v>
      </c>
      <c r="C251" t="s">
        <v>724</v>
      </c>
      <c r="D251" t="s">
        <v>724</v>
      </c>
      <c r="E251">
        <v>6.9250673643643304E-2</v>
      </c>
      <c r="F251" t="s">
        <v>25</v>
      </c>
      <c r="G251" s="1">
        <v>6.1215836182521003E-6</v>
      </c>
      <c r="H251">
        <f t="shared" si="12"/>
        <v>249</v>
      </c>
      <c r="I251" s="1">
        <v>4.4354197244275101E-6</v>
      </c>
      <c r="J251">
        <f t="shared" si="13"/>
        <v>249</v>
      </c>
      <c r="K251" s="1">
        <v>3.5280489265778198E-6</v>
      </c>
      <c r="L251">
        <f t="shared" si="14"/>
        <v>251</v>
      </c>
      <c r="M251" s="1">
        <v>8.4764624983522397E-6</v>
      </c>
      <c r="N251">
        <f t="shared" si="15"/>
        <v>251</v>
      </c>
      <c r="O251">
        <v>250</v>
      </c>
      <c r="P251">
        <v>1.3333333333333299</v>
      </c>
    </row>
    <row r="252" spans="1:16">
      <c r="A252" t="s">
        <v>725</v>
      </c>
      <c r="B252" t="s">
        <v>93</v>
      </c>
      <c r="C252" t="s">
        <v>726</v>
      </c>
      <c r="D252" t="s">
        <v>727</v>
      </c>
      <c r="E252">
        <v>0.35917535593641398</v>
      </c>
      <c r="F252" t="s">
        <v>25</v>
      </c>
      <c r="G252" s="1">
        <v>6.1215836182521003E-6</v>
      </c>
      <c r="H252">
        <f t="shared" si="12"/>
        <v>249</v>
      </c>
      <c r="I252" s="1">
        <v>4.4354197244275101E-6</v>
      </c>
      <c r="J252">
        <f t="shared" si="13"/>
        <v>249</v>
      </c>
      <c r="K252" s="1">
        <v>3.5280489265778198E-6</v>
      </c>
      <c r="L252">
        <f t="shared" si="14"/>
        <v>251</v>
      </c>
      <c r="M252" s="1">
        <v>8.4764624983522397E-6</v>
      </c>
      <c r="N252">
        <f t="shared" si="15"/>
        <v>251</v>
      </c>
      <c r="O252">
        <v>251</v>
      </c>
      <c r="P252">
        <v>1.3333333333333299</v>
      </c>
    </row>
    <row r="253" spans="1:16">
      <c r="A253" t="s">
        <v>728</v>
      </c>
      <c r="B253" t="s">
        <v>93</v>
      </c>
      <c r="C253" t="s">
        <v>729</v>
      </c>
      <c r="D253" t="s">
        <v>730</v>
      </c>
      <c r="E253">
        <v>0.380194406545865</v>
      </c>
      <c r="F253" t="s">
        <v>25</v>
      </c>
      <c r="G253" s="1">
        <v>6.1215835849699397E-6</v>
      </c>
      <c r="H253">
        <f t="shared" si="12"/>
        <v>251</v>
      </c>
      <c r="I253" s="1">
        <v>4.4354197202939199E-6</v>
      </c>
      <c r="J253">
        <f t="shared" si="13"/>
        <v>251</v>
      </c>
      <c r="K253" s="1">
        <v>3.5280489270164101E-6</v>
      </c>
      <c r="L253">
        <f t="shared" si="14"/>
        <v>249</v>
      </c>
      <c r="M253" s="1">
        <v>8.4764626074923198E-6</v>
      </c>
      <c r="N253">
        <f t="shared" si="15"/>
        <v>249</v>
      </c>
      <c r="O253">
        <v>251</v>
      </c>
      <c r="P253">
        <v>1.3333333333333299</v>
      </c>
    </row>
    <row r="254" spans="1:16">
      <c r="A254" t="s">
        <v>731</v>
      </c>
      <c r="B254" t="s">
        <v>93</v>
      </c>
      <c r="C254" t="s">
        <v>732</v>
      </c>
      <c r="D254" t="s">
        <v>732</v>
      </c>
      <c r="E254">
        <v>0.28332194629839802</v>
      </c>
      <c r="F254" t="s">
        <v>25</v>
      </c>
      <c r="G254" s="1">
        <v>3.1068108592520501E-6</v>
      </c>
      <c r="H254">
        <f t="shared" si="12"/>
        <v>253</v>
      </c>
      <c r="I254" s="1">
        <v>2.2506436999619202E-6</v>
      </c>
      <c r="J254">
        <f t="shared" si="13"/>
        <v>253</v>
      </c>
      <c r="K254" s="1">
        <v>1.7896997081645601E-6</v>
      </c>
      <c r="L254">
        <f t="shared" si="14"/>
        <v>253</v>
      </c>
      <c r="M254" s="1">
        <v>4.2833375851231302E-6</v>
      </c>
      <c r="N254">
        <f t="shared" si="15"/>
        <v>253</v>
      </c>
      <c r="O254">
        <v>253</v>
      </c>
      <c r="P254">
        <v>0</v>
      </c>
    </row>
    <row r="255" spans="1:16">
      <c r="A255" t="s">
        <v>733</v>
      </c>
      <c r="B255" t="s">
        <v>93</v>
      </c>
      <c r="C255" t="s">
        <v>734</v>
      </c>
      <c r="D255" t="s">
        <v>734</v>
      </c>
      <c r="E255">
        <v>1.5466522401517699E-2</v>
      </c>
      <c r="F255" t="s">
        <v>20</v>
      </c>
      <c r="G255" s="1">
        <v>3.0607917924849698E-6</v>
      </c>
      <c r="H255">
        <f t="shared" si="12"/>
        <v>254</v>
      </c>
      <c r="I255" s="1">
        <v>2.2506436999619202E-6</v>
      </c>
      <c r="J255">
        <f t="shared" si="13"/>
        <v>253</v>
      </c>
      <c r="K255" s="1">
        <v>1.7896997081645601E-6</v>
      </c>
      <c r="L255">
        <f t="shared" si="14"/>
        <v>253</v>
      </c>
      <c r="M255" s="1">
        <v>4.2833375851231302E-6</v>
      </c>
      <c r="N255">
        <f t="shared" si="15"/>
        <v>253</v>
      </c>
      <c r="O255">
        <v>255.25</v>
      </c>
      <c r="P255">
        <v>2.25</v>
      </c>
    </row>
    <row r="256" spans="1:16">
      <c r="A256" t="s">
        <v>735</v>
      </c>
      <c r="B256" t="s">
        <v>93</v>
      </c>
      <c r="C256" t="s">
        <v>736</v>
      </c>
      <c r="D256" t="s">
        <v>737</v>
      </c>
      <c r="E256">
        <v>0.23863582171023501</v>
      </c>
      <c r="F256" t="s">
        <v>25</v>
      </c>
      <c r="G256" s="1">
        <v>3.0607917924849698E-6</v>
      </c>
      <c r="H256">
        <f t="shared" si="12"/>
        <v>254</v>
      </c>
      <c r="I256" s="1">
        <v>2.2177098601469599E-6</v>
      </c>
      <c r="J256">
        <f t="shared" si="13"/>
        <v>258</v>
      </c>
      <c r="K256" s="1">
        <v>1.7640244635081999E-6</v>
      </c>
      <c r="L256">
        <f t="shared" si="14"/>
        <v>258</v>
      </c>
      <c r="M256" s="1">
        <v>4.2833375851231302E-6</v>
      </c>
      <c r="N256">
        <f t="shared" si="15"/>
        <v>253</v>
      </c>
      <c r="O256">
        <v>256.25</v>
      </c>
      <c r="P256">
        <v>4.25</v>
      </c>
    </row>
    <row r="257" spans="1:16">
      <c r="A257" t="s">
        <v>738</v>
      </c>
      <c r="B257" t="s">
        <v>93</v>
      </c>
      <c r="C257" t="s">
        <v>739</v>
      </c>
      <c r="D257" t="s">
        <v>740</v>
      </c>
      <c r="E257">
        <v>0.459225815108739</v>
      </c>
      <c r="F257" t="s">
        <v>20</v>
      </c>
      <c r="G257" s="1">
        <v>3.0607917924849698E-6</v>
      </c>
      <c r="H257">
        <f t="shared" si="12"/>
        <v>254</v>
      </c>
      <c r="I257" s="1">
        <v>2.2506436999619202E-6</v>
      </c>
      <c r="J257">
        <f t="shared" si="13"/>
        <v>253</v>
      </c>
      <c r="K257" s="1">
        <v>1.7896997081645601E-6</v>
      </c>
      <c r="L257">
        <f t="shared" si="14"/>
        <v>253</v>
      </c>
      <c r="M257" s="1">
        <v>4.2833375851231302E-6</v>
      </c>
      <c r="N257">
        <f t="shared" si="15"/>
        <v>253</v>
      </c>
      <c r="O257">
        <v>256.25</v>
      </c>
      <c r="P257">
        <v>2.25</v>
      </c>
    </row>
    <row r="258" spans="1:16">
      <c r="A258" t="s">
        <v>741</v>
      </c>
      <c r="B258" t="s">
        <v>93</v>
      </c>
      <c r="C258" t="s">
        <v>742</v>
      </c>
      <c r="D258" t="s">
        <v>743</v>
      </c>
      <c r="E258">
        <v>0.157685048021275</v>
      </c>
      <c r="F258" t="s">
        <v>25</v>
      </c>
      <c r="G258" s="1">
        <v>3.0607917924849698E-6</v>
      </c>
      <c r="H258">
        <f t="shared" si="12"/>
        <v>254</v>
      </c>
      <c r="I258" s="1">
        <v>2.2177098601469599E-6</v>
      </c>
      <c r="J258">
        <f t="shared" si="13"/>
        <v>258</v>
      </c>
      <c r="K258" s="1">
        <v>1.7640244635081999E-6</v>
      </c>
      <c r="L258">
        <f t="shared" si="14"/>
        <v>258</v>
      </c>
      <c r="M258" s="1">
        <v>4.2833375851231302E-6</v>
      </c>
      <c r="N258">
        <f t="shared" si="15"/>
        <v>253</v>
      </c>
      <c r="O258">
        <v>257.25</v>
      </c>
      <c r="P258">
        <v>4.25</v>
      </c>
    </row>
    <row r="259" spans="1:16">
      <c r="A259" t="s">
        <v>744</v>
      </c>
      <c r="B259" t="s">
        <v>93</v>
      </c>
      <c r="C259" t="s">
        <v>745</v>
      </c>
      <c r="D259" t="s">
        <v>746</v>
      </c>
      <c r="E259">
        <v>0.15142716994952099</v>
      </c>
      <c r="F259" t="s">
        <v>20</v>
      </c>
      <c r="G259" s="1">
        <v>3.0607917924849698E-6</v>
      </c>
      <c r="H259">
        <f>_xlfn.RANK.EQ(G259,G$2:G$263)</f>
        <v>254</v>
      </c>
      <c r="I259" s="1">
        <v>2.2506436999619202E-6</v>
      </c>
      <c r="J259">
        <f>_xlfn.RANK.EQ(I259,I$2:I$263)</f>
        <v>253</v>
      </c>
      <c r="K259" s="1">
        <v>1.7896997081645601E-6</v>
      </c>
      <c r="L259">
        <f>_xlfn.RANK.EQ(K259,K$2:K$263)</f>
        <v>253</v>
      </c>
      <c r="M259" s="1">
        <v>4.2833375851231302E-6</v>
      </c>
      <c r="N259">
        <f>_xlfn.RANK.EQ(M259,M$2:M$263)</f>
        <v>253</v>
      </c>
      <c r="O259">
        <v>257.25</v>
      </c>
      <c r="P259">
        <v>2.25</v>
      </c>
    </row>
    <row r="260" spans="1:16">
      <c r="A260" t="s">
        <v>747</v>
      </c>
      <c r="B260" t="s">
        <v>93</v>
      </c>
      <c r="C260" t="s">
        <v>748</v>
      </c>
      <c r="D260" t="s">
        <v>749</v>
      </c>
      <c r="E260">
        <v>1.0698040363309399E-3</v>
      </c>
      <c r="F260" t="s">
        <v>20</v>
      </c>
      <c r="G260" s="1">
        <v>3.0607917924849698E-6</v>
      </c>
      <c r="H260">
        <f>_xlfn.RANK.EQ(G260,G$2:G$263)</f>
        <v>254</v>
      </c>
      <c r="I260" s="1">
        <v>2.2506436999619202E-6</v>
      </c>
      <c r="J260">
        <f>_xlfn.RANK.EQ(I260,I$2:I$263)</f>
        <v>253</v>
      </c>
      <c r="K260" s="1">
        <v>1.7896997081645601E-6</v>
      </c>
      <c r="L260">
        <f>_xlfn.RANK.EQ(K260,K$2:K$263)</f>
        <v>253</v>
      </c>
      <c r="M260" s="1">
        <v>4.2833375851231302E-6</v>
      </c>
      <c r="N260">
        <f>_xlfn.RANK.EQ(M260,M$2:M$263)</f>
        <v>253</v>
      </c>
      <c r="O260">
        <v>258.75</v>
      </c>
      <c r="P260">
        <v>4.25</v>
      </c>
    </row>
    <row r="261" spans="1:16">
      <c r="A261" t="s">
        <v>750</v>
      </c>
      <c r="B261" t="s">
        <v>93</v>
      </c>
      <c r="C261" t="s">
        <v>751</v>
      </c>
      <c r="D261" t="s">
        <v>752</v>
      </c>
      <c r="E261">
        <v>0.215877019124084</v>
      </c>
      <c r="F261" t="s">
        <v>20</v>
      </c>
      <c r="G261" s="1">
        <v>2.7386583251153998E-6</v>
      </c>
      <c r="H261">
        <f>_xlfn.RANK.EQ(G261,G$2:G$263)</f>
        <v>261</v>
      </c>
      <c r="I261" s="1">
        <v>1.9871729814422701E-6</v>
      </c>
      <c r="J261">
        <f>_xlfn.RANK.EQ(I261,I$2:I$263)</f>
        <v>261</v>
      </c>
      <c r="K261" s="1">
        <v>1.5842977509137299E-6</v>
      </c>
      <c r="L261">
        <f>_xlfn.RANK.EQ(K261,K$2:K$263)</f>
        <v>261</v>
      </c>
      <c r="M261" s="1">
        <v>4.2833375851231302E-6</v>
      </c>
      <c r="N261">
        <f>_xlfn.RANK.EQ(M261,M$2:M$263)</f>
        <v>253</v>
      </c>
      <c r="O261">
        <v>259.25</v>
      </c>
      <c r="P261">
        <v>12.25</v>
      </c>
    </row>
    <row r="262" spans="1:16">
      <c r="A262" t="s">
        <v>753</v>
      </c>
      <c r="B262" t="s">
        <v>93</v>
      </c>
      <c r="C262" t="s">
        <v>754</v>
      </c>
      <c r="D262" t="s">
        <v>755</v>
      </c>
      <c r="E262">
        <v>0.44484454829791498</v>
      </c>
      <c r="F262" t="s">
        <v>25</v>
      </c>
      <c r="G262" s="1">
        <v>3.0607917924849698E-6</v>
      </c>
      <c r="H262">
        <f>_xlfn.RANK.EQ(G262,G$2:G$263)</f>
        <v>254</v>
      </c>
      <c r="I262" s="1">
        <v>2.2177098601469599E-6</v>
      </c>
      <c r="J262">
        <f>_xlfn.RANK.EQ(I262,I$2:I$263)</f>
        <v>258</v>
      </c>
      <c r="K262" s="1">
        <v>1.7640244635081999E-6</v>
      </c>
      <c r="L262">
        <f>_xlfn.RANK.EQ(K262,K$2:K$263)</f>
        <v>258</v>
      </c>
      <c r="M262" s="1">
        <v>4.2833375851231302E-6</v>
      </c>
      <c r="N262">
        <f>_xlfn.RANK.EQ(M262,M$2:M$263)</f>
        <v>253</v>
      </c>
      <c r="O262">
        <v>259.75</v>
      </c>
      <c r="P262">
        <v>0.25</v>
      </c>
    </row>
    <row r="263" spans="1:16">
      <c r="A263" t="s">
        <v>756</v>
      </c>
      <c r="B263" t="s">
        <v>93</v>
      </c>
      <c r="C263" t="s">
        <v>757</v>
      </c>
      <c r="D263" t="s">
        <v>757</v>
      </c>
      <c r="E263">
        <v>0.40291553303862498</v>
      </c>
      <c r="F263" t="s">
        <v>20</v>
      </c>
      <c r="G263" s="1">
        <v>2.7386583251153998E-6</v>
      </c>
      <c r="H263">
        <f>_xlfn.RANK.EQ(G263,G$2:G$263)</f>
        <v>261</v>
      </c>
      <c r="I263" s="1">
        <v>1.9871729814422701E-6</v>
      </c>
      <c r="J263">
        <f>_xlfn.RANK.EQ(I263,I$2:I$263)</f>
        <v>261</v>
      </c>
      <c r="K263" s="1">
        <v>1.5842977509137299E-6</v>
      </c>
      <c r="L263">
        <f>_xlfn.RANK.EQ(K263,K$2:K$263)</f>
        <v>261</v>
      </c>
      <c r="M263" s="1">
        <v>4.2833375851231302E-6</v>
      </c>
      <c r="N263">
        <f>_xlfn.RANK.EQ(M263,M$2:M$263)</f>
        <v>253</v>
      </c>
      <c r="O263">
        <v>262</v>
      </c>
      <c r="P263">
        <v>0</v>
      </c>
    </row>
  </sheetData>
  <conditionalFormatting sqref="H2:H263 J2:J263 L2:L263 N2:N263">
    <cfRule type="cellIs" dxfId="0" priority="1" operator="less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Raghav Acharya</dc:creator>
  <cp:keywords/>
  <dc:description/>
  <cp:lastModifiedBy>Eugenie Cha</cp:lastModifiedBy>
  <cp:revision/>
  <dcterms:created xsi:type="dcterms:W3CDTF">2025-10-11T01:40:26Z</dcterms:created>
  <dcterms:modified xsi:type="dcterms:W3CDTF">2025-12-28T21:36:42Z</dcterms:modified>
  <cp:category/>
  <cp:contentStatus/>
</cp:coreProperties>
</file>