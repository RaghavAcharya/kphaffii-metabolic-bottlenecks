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mEGrad2022\MIT Dropbox\Raghav Acharya\Raghav Lab Ops\Paper Preparation Folders\Metabolic Upregulation, Paper 1\Raw Data\"/>
    </mc:Choice>
  </mc:AlternateContent>
  <xr:revisionPtr revIDLastSave="0" documentId="13_ncr:1_{8787CEA8-FC33-4861-9F85-08FF0C1CA3E7}" xr6:coauthVersionLast="36" xr6:coauthVersionMax="47" xr10:uidLastSave="{00000000-0000-0000-0000-000000000000}"/>
  <bookViews>
    <workbookView xWindow="-120" yWindow="-120" windowWidth="51840" windowHeight="21120" xr2:uid="{D065FFF3-2DED-4FB2-BA88-B0EED06A072D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120" i="2" l="1"/>
  <c r="T119" i="2"/>
  <c r="T118" i="2"/>
  <c r="T117" i="2"/>
  <c r="T116" i="2"/>
  <c r="T115" i="2"/>
  <c r="T114" i="2"/>
  <c r="T113" i="2"/>
  <c r="T112" i="2"/>
  <c r="T111" i="2"/>
  <c r="T110" i="2"/>
  <c r="T109" i="2"/>
  <c r="T108" i="2"/>
  <c r="T107" i="2"/>
  <c r="T106" i="2"/>
  <c r="T105" i="2"/>
  <c r="T104" i="2"/>
  <c r="T103" i="2"/>
  <c r="T102" i="2"/>
  <c r="T101" i="2"/>
  <c r="T100" i="2"/>
  <c r="T99" i="2"/>
  <c r="T98" i="2"/>
  <c r="T97" i="2"/>
  <c r="T96" i="2"/>
  <c r="T95" i="2"/>
  <c r="T94" i="2"/>
  <c r="T93" i="2"/>
  <c r="T92" i="2"/>
  <c r="T91" i="2"/>
  <c r="T90" i="2"/>
  <c r="T89" i="2"/>
  <c r="T88" i="2"/>
  <c r="T87" i="2"/>
  <c r="T86" i="2"/>
  <c r="T85" i="2"/>
  <c r="T84" i="2"/>
  <c r="T83" i="2"/>
  <c r="T82" i="2"/>
  <c r="T81" i="2"/>
  <c r="T80" i="2"/>
  <c r="T79" i="2"/>
  <c r="T78" i="2"/>
  <c r="T77" i="2"/>
  <c r="T76" i="2"/>
  <c r="T75" i="2"/>
  <c r="T74" i="2"/>
  <c r="T73" i="2"/>
  <c r="T72" i="2"/>
  <c r="T71" i="2"/>
  <c r="T70" i="2"/>
  <c r="T69" i="2"/>
  <c r="T68" i="2"/>
  <c r="T67" i="2"/>
  <c r="T66" i="2"/>
  <c r="T65" i="2"/>
  <c r="T64" i="2"/>
  <c r="T63" i="2"/>
  <c r="T62" i="2"/>
  <c r="T61" i="2"/>
  <c r="T60" i="2"/>
  <c r="T59" i="2"/>
  <c r="T58" i="2"/>
  <c r="T57" i="2"/>
  <c r="T56" i="2"/>
  <c r="T55" i="2"/>
  <c r="T54" i="2"/>
  <c r="T53" i="2"/>
  <c r="T52" i="2"/>
  <c r="T51" i="2"/>
  <c r="T50" i="2"/>
  <c r="T49" i="2"/>
  <c r="T48" i="2"/>
  <c r="T47" i="2"/>
  <c r="T46" i="2"/>
  <c r="T45" i="2"/>
  <c r="T44" i="2"/>
  <c r="T43" i="2"/>
  <c r="T42" i="2"/>
  <c r="T41" i="2"/>
  <c r="T40" i="2"/>
  <c r="T39" i="2"/>
  <c r="T38" i="2"/>
  <c r="T37" i="2"/>
  <c r="T36" i="2"/>
  <c r="T35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T4" i="2"/>
  <c r="T3" i="2"/>
  <c r="T2" i="2"/>
  <c r="T256" i="1"/>
  <c r="U256" i="1" s="1"/>
  <c r="T257" i="1"/>
  <c r="W257" i="1" s="1"/>
  <c r="T258" i="1"/>
  <c r="V258" i="1" s="1"/>
  <c r="T259" i="1"/>
  <c r="U259" i="1" s="1"/>
  <c r="T260" i="1"/>
  <c r="T261" i="1"/>
  <c r="T262" i="1"/>
  <c r="T263" i="1"/>
  <c r="U263" i="1" s="1"/>
  <c r="T264" i="1"/>
  <c r="U264" i="1" s="1"/>
  <c r="T265" i="1"/>
  <c r="T266" i="1"/>
  <c r="T267" i="1"/>
  <c r="T268" i="1"/>
  <c r="U268" i="1" s="1"/>
  <c r="T2" i="1"/>
  <c r="V2" i="1" s="1"/>
  <c r="T3" i="1"/>
  <c r="W3" i="1" s="1"/>
  <c r="T4" i="1"/>
  <c r="U4" i="1" s="1"/>
  <c r="T5" i="1"/>
  <c r="U5" i="1" s="1"/>
  <c r="T6" i="1"/>
  <c r="T7" i="1"/>
  <c r="V7" i="1" s="1"/>
  <c r="T8" i="1"/>
  <c r="T9" i="1"/>
  <c r="T10" i="1"/>
  <c r="T11" i="1"/>
  <c r="U11" i="1" s="1"/>
  <c r="T12" i="1"/>
  <c r="V12" i="1" s="1"/>
  <c r="T13" i="1"/>
  <c r="U13" i="1" s="1"/>
  <c r="T14" i="1"/>
  <c r="W14" i="1" s="1"/>
  <c r="T15" i="1"/>
  <c r="U15" i="1" s="1"/>
  <c r="T188" i="1"/>
  <c r="W188" i="1" s="1"/>
  <c r="T189" i="1"/>
  <c r="T190" i="1"/>
  <c r="T191" i="1"/>
  <c r="T192" i="1"/>
  <c r="T193" i="1"/>
  <c r="V193" i="1" s="1"/>
  <c r="T194" i="1"/>
  <c r="V194" i="1" s="1"/>
  <c r="T195" i="1"/>
  <c r="U195" i="1" s="1"/>
  <c r="T196" i="1"/>
  <c r="U196" i="1" s="1"/>
  <c r="T197" i="1"/>
  <c r="V197" i="1" s="1"/>
  <c r="T198" i="1"/>
  <c r="T199" i="1"/>
  <c r="T200" i="1"/>
  <c r="U200" i="1" s="1"/>
  <c r="T201" i="1"/>
  <c r="T83" i="1"/>
  <c r="T84" i="1"/>
  <c r="W84" i="1" s="1"/>
  <c r="T85" i="1"/>
  <c r="U85" i="1" s="1"/>
  <c r="T86" i="1"/>
  <c r="T87" i="1"/>
  <c r="U87" i="1" s="1"/>
  <c r="T88" i="1"/>
  <c r="W88" i="1" s="1"/>
  <c r="T89" i="1"/>
  <c r="U89" i="1" s="1"/>
  <c r="T90" i="1"/>
  <c r="U90" i="1" s="1"/>
  <c r="T91" i="1"/>
  <c r="W91" i="1" s="1"/>
  <c r="T92" i="1"/>
  <c r="V92" i="1" s="1"/>
  <c r="T93" i="1"/>
  <c r="T94" i="1"/>
  <c r="T95" i="1"/>
  <c r="T96" i="1"/>
  <c r="T269" i="1"/>
  <c r="W269" i="1" s="1"/>
  <c r="T270" i="1"/>
  <c r="U270" i="1" s="1"/>
  <c r="T271" i="1"/>
  <c r="V271" i="1" s="1"/>
  <c r="T272" i="1"/>
  <c r="U272" i="1" s="1"/>
  <c r="T273" i="1"/>
  <c r="W273" i="1" s="1"/>
  <c r="T274" i="1"/>
  <c r="T275" i="1"/>
  <c r="T276" i="1"/>
  <c r="T16" i="1"/>
  <c r="U16" i="1" s="1"/>
  <c r="T17" i="1"/>
  <c r="U17" i="1" s="1"/>
  <c r="T18" i="1"/>
  <c r="W18" i="1" s="1"/>
  <c r="T19" i="1"/>
  <c r="U19" i="1" s="1"/>
  <c r="T20" i="1"/>
  <c r="U20" i="1" s="1"/>
  <c r="T21" i="1"/>
  <c r="U21" i="1" s="1"/>
  <c r="T22" i="1"/>
  <c r="T23" i="1"/>
  <c r="T97" i="1"/>
  <c r="U97" i="1" s="1"/>
  <c r="T98" i="1"/>
  <c r="W98" i="1" s="1"/>
  <c r="T99" i="1"/>
  <c r="T100" i="1"/>
  <c r="T101" i="1"/>
  <c r="T102" i="1"/>
  <c r="W102" i="1" s="1"/>
  <c r="T103" i="1"/>
  <c r="V103" i="1" s="1"/>
  <c r="T104" i="1"/>
  <c r="U104" i="1" s="1"/>
  <c r="T202" i="1"/>
  <c r="U202" i="1" s="1"/>
  <c r="T203" i="1"/>
  <c r="W203" i="1" s="1"/>
  <c r="T204" i="1"/>
  <c r="V204" i="1" s="1"/>
  <c r="T205" i="1"/>
  <c r="U205" i="1" s="1"/>
  <c r="T206" i="1"/>
  <c r="W206" i="1" s="1"/>
  <c r="T207" i="1"/>
  <c r="U207" i="1" s="1"/>
  <c r="T208" i="1"/>
  <c r="T209" i="1"/>
  <c r="T105" i="1"/>
  <c r="T106" i="1"/>
  <c r="U106" i="1" s="1"/>
  <c r="T107" i="1"/>
  <c r="U107" i="1" s="1"/>
  <c r="T108" i="1"/>
  <c r="W108" i="1" s="1"/>
  <c r="T109" i="1"/>
  <c r="U109" i="1" s="1"/>
  <c r="T110" i="1"/>
  <c r="U110" i="1" s="1"/>
  <c r="T111" i="1"/>
  <c r="V111" i="1" s="1"/>
  <c r="T112" i="1"/>
  <c r="U112" i="1" s="1"/>
  <c r="T113" i="1"/>
  <c r="T114" i="1"/>
  <c r="U114" i="1" s="1"/>
  <c r="T115" i="1"/>
  <c r="T116" i="1"/>
  <c r="T117" i="1"/>
  <c r="T118" i="1"/>
  <c r="W118" i="1" s="1"/>
  <c r="T119" i="1"/>
  <c r="U119" i="1" s="1"/>
  <c r="T120" i="1"/>
  <c r="U120" i="1" s="1"/>
  <c r="T121" i="1"/>
  <c r="U121" i="1" s="1"/>
  <c r="T122" i="1"/>
  <c r="T123" i="1"/>
  <c r="U123" i="1" s="1"/>
  <c r="T124" i="1"/>
  <c r="V124" i="1" s="1"/>
  <c r="T125" i="1"/>
  <c r="W125" i="1" s="1"/>
  <c r="T126" i="1"/>
  <c r="U126" i="1" s="1"/>
  <c r="T127" i="1"/>
  <c r="T128" i="1"/>
  <c r="T129" i="1"/>
  <c r="T130" i="1"/>
  <c r="U130" i="1" s="1"/>
  <c r="T131" i="1"/>
  <c r="U131" i="1" s="1"/>
  <c r="T132" i="1"/>
  <c r="V132" i="1" s="1"/>
  <c r="T133" i="1"/>
  <c r="U133" i="1" s="1"/>
  <c r="T134" i="1"/>
  <c r="U134" i="1" s="1"/>
  <c r="T135" i="1"/>
  <c r="V135" i="1" s="1"/>
  <c r="T136" i="1"/>
  <c r="U136" i="1" s="1"/>
  <c r="T137" i="1"/>
  <c r="T138" i="1"/>
  <c r="V138" i="1" s="1"/>
  <c r="T139" i="1"/>
  <c r="T140" i="1"/>
  <c r="T141" i="1"/>
  <c r="T142" i="1"/>
  <c r="W142" i="1" s="1"/>
  <c r="T277" i="1"/>
  <c r="U277" i="1" s="1"/>
  <c r="T278" i="1"/>
  <c r="V278" i="1" s="1"/>
  <c r="T279" i="1"/>
  <c r="U279" i="1" s="1"/>
  <c r="T280" i="1"/>
  <c r="T281" i="1"/>
  <c r="U281" i="1" s="1"/>
  <c r="T282" i="1"/>
  <c r="U282" i="1" s="1"/>
  <c r="T283" i="1"/>
  <c r="W283" i="1" s="1"/>
  <c r="T284" i="1"/>
  <c r="W284" i="1" s="1"/>
  <c r="T285" i="1"/>
  <c r="T286" i="1"/>
  <c r="T287" i="1"/>
  <c r="T288" i="1"/>
  <c r="U288" i="1" s="1"/>
  <c r="T289" i="1"/>
  <c r="V289" i="1" s="1"/>
  <c r="T290" i="1"/>
  <c r="U290" i="1" s="1"/>
  <c r="T291" i="1"/>
  <c r="U291" i="1" s="1"/>
  <c r="T292" i="1"/>
  <c r="U292" i="1" s="1"/>
  <c r="T293" i="1"/>
  <c r="U293" i="1" s="1"/>
  <c r="T294" i="1"/>
  <c r="U294" i="1" s="1"/>
  <c r="T295" i="1"/>
  <c r="T296" i="1"/>
  <c r="V296" i="1" s="1"/>
  <c r="T297" i="1"/>
  <c r="T298" i="1"/>
  <c r="T299" i="1"/>
  <c r="T300" i="1"/>
  <c r="W300" i="1" s="1"/>
  <c r="T301" i="1"/>
  <c r="V301" i="1" s="1"/>
  <c r="T302" i="1"/>
  <c r="U302" i="1" s="1"/>
  <c r="T303" i="1"/>
  <c r="U303" i="1" s="1"/>
  <c r="T304" i="1"/>
  <c r="T305" i="1"/>
  <c r="U305" i="1" s="1"/>
  <c r="T306" i="1"/>
  <c r="V306" i="1" s="1"/>
  <c r="T307" i="1"/>
  <c r="W307" i="1" s="1"/>
  <c r="T308" i="1"/>
  <c r="U308" i="1" s="1"/>
  <c r="T309" i="1"/>
  <c r="T310" i="1"/>
  <c r="T311" i="1"/>
  <c r="T312" i="1"/>
  <c r="U312" i="1" s="1"/>
  <c r="T313" i="1"/>
  <c r="V313" i="1" s="1"/>
  <c r="T314" i="1"/>
  <c r="U314" i="1" s="1"/>
  <c r="T315" i="1"/>
  <c r="U315" i="1" s="1"/>
  <c r="T316" i="1"/>
  <c r="U316" i="1" s="1"/>
  <c r="T317" i="1"/>
  <c r="U317" i="1" s="1"/>
  <c r="T318" i="1"/>
  <c r="U318" i="1" s="1"/>
  <c r="T319" i="1"/>
  <c r="T320" i="1"/>
  <c r="U320" i="1" s="1"/>
  <c r="T321" i="1"/>
  <c r="T322" i="1"/>
  <c r="T323" i="1"/>
  <c r="T324" i="1"/>
  <c r="W324" i="1" s="1"/>
  <c r="T325" i="1"/>
  <c r="U325" i="1" s="1"/>
  <c r="T326" i="1"/>
  <c r="V326" i="1" s="1"/>
  <c r="T327" i="1"/>
  <c r="U327" i="1" s="1"/>
  <c r="T328" i="1"/>
  <c r="T329" i="1"/>
  <c r="U329" i="1" s="1"/>
  <c r="T330" i="1"/>
  <c r="V330" i="1" s="1"/>
  <c r="T331" i="1"/>
  <c r="T332" i="1"/>
  <c r="V332" i="1" s="1"/>
  <c r="T24" i="1"/>
  <c r="T25" i="1"/>
  <c r="T26" i="1"/>
  <c r="T27" i="1"/>
  <c r="U27" i="1" s="1"/>
  <c r="T28" i="1"/>
  <c r="U28" i="1" s="1"/>
  <c r="T29" i="1"/>
  <c r="W29" i="1" s="1"/>
  <c r="T30" i="1"/>
  <c r="U30" i="1" s="1"/>
  <c r="T31" i="1"/>
  <c r="U31" i="1" s="1"/>
  <c r="T32" i="1"/>
  <c r="U32" i="1" s="1"/>
  <c r="T33" i="1"/>
  <c r="U33" i="1" s="1"/>
  <c r="T34" i="1"/>
  <c r="T35" i="1"/>
  <c r="U35" i="1" s="1"/>
  <c r="T36" i="1"/>
  <c r="T37" i="1"/>
  <c r="T38" i="1"/>
  <c r="T39" i="1"/>
  <c r="W39" i="1" s="1"/>
  <c r="T40" i="1"/>
  <c r="U40" i="1" s="1"/>
  <c r="T41" i="1"/>
  <c r="V41" i="1" s="1"/>
  <c r="T210" i="1"/>
  <c r="U210" i="1" s="1"/>
  <c r="T211" i="1"/>
  <c r="T212" i="1"/>
  <c r="U212" i="1" s="1"/>
  <c r="T213" i="1"/>
  <c r="W213" i="1" s="1"/>
  <c r="T214" i="1"/>
  <c r="W214" i="1" s="1"/>
  <c r="T215" i="1"/>
  <c r="V215" i="1" s="1"/>
  <c r="T216" i="1"/>
  <c r="T217" i="1"/>
  <c r="T218" i="1"/>
  <c r="T219" i="1"/>
  <c r="U219" i="1" s="1"/>
  <c r="T220" i="1"/>
  <c r="U220" i="1" s="1"/>
  <c r="T221" i="1"/>
  <c r="U221" i="1" s="1"/>
  <c r="T222" i="1"/>
  <c r="U222" i="1" s="1"/>
  <c r="T223" i="1"/>
  <c r="U223" i="1" s="1"/>
  <c r="T224" i="1"/>
  <c r="U224" i="1" s="1"/>
  <c r="T225" i="1"/>
  <c r="U225" i="1" s="1"/>
  <c r="T226" i="1"/>
  <c r="T227" i="1"/>
  <c r="W227" i="1" s="1"/>
  <c r="T143" i="1"/>
  <c r="T144" i="1"/>
  <c r="T145" i="1"/>
  <c r="T146" i="1"/>
  <c r="W146" i="1" s="1"/>
  <c r="T147" i="1"/>
  <c r="U147" i="1" s="1"/>
  <c r="T148" i="1"/>
  <c r="V148" i="1" s="1"/>
  <c r="T149" i="1"/>
  <c r="U149" i="1" s="1"/>
  <c r="T150" i="1"/>
  <c r="T151" i="1"/>
  <c r="U151" i="1" s="1"/>
  <c r="T152" i="1"/>
  <c r="U152" i="1" s="1"/>
  <c r="T153" i="1"/>
  <c r="W153" i="1" s="1"/>
  <c r="T154" i="1"/>
  <c r="W154" i="1" s="1"/>
  <c r="T155" i="1"/>
  <c r="T156" i="1"/>
  <c r="T157" i="1"/>
  <c r="T158" i="1"/>
  <c r="U158" i="1" s="1"/>
  <c r="T159" i="1"/>
  <c r="U159" i="1" s="1"/>
  <c r="T160" i="1"/>
  <c r="W160" i="1" s="1"/>
  <c r="T42" i="1"/>
  <c r="U42" i="1" s="1"/>
  <c r="T43" i="1"/>
  <c r="U43" i="1" s="1"/>
  <c r="T44" i="1"/>
  <c r="V44" i="1" s="1"/>
  <c r="T45" i="1"/>
  <c r="U45" i="1" s="1"/>
  <c r="T46" i="1"/>
  <c r="T47" i="1"/>
  <c r="U47" i="1" s="1"/>
  <c r="T48" i="1"/>
  <c r="T49" i="1"/>
  <c r="T50" i="1"/>
  <c r="T51" i="1"/>
  <c r="W51" i="1" s="1"/>
  <c r="T52" i="1"/>
  <c r="W52" i="1" s="1"/>
  <c r="T53" i="1"/>
  <c r="U53" i="1" s="1"/>
  <c r="T54" i="1"/>
  <c r="U54" i="1" s="1"/>
  <c r="T55" i="1"/>
  <c r="T56" i="1"/>
  <c r="U56" i="1" s="1"/>
  <c r="T57" i="1"/>
  <c r="U57" i="1" s="1"/>
  <c r="T58" i="1"/>
  <c r="W58" i="1" s="1"/>
  <c r="T59" i="1"/>
  <c r="U59" i="1" s="1"/>
  <c r="T60" i="1"/>
  <c r="T61" i="1"/>
  <c r="T62" i="1"/>
  <c r="T63" i="1"/>
  <c r="U63" i="1" s="1"/>
  <c r="T64" i="1"/>
  <c r="U64" i="1" s="1"/>
  <c r="T65" i="1"/>
  <c r="U65" i="1" s="1"/>
  <c r="T66" i="1"/>
  <c r="U66" i="1" s="1"/>
  <c r="T67" i="1"/>
  <c r="U67" i="1" s="1"/>
  <c r="T68" i="1"/>
  <c r="U68" i="1" s="1"/>
  <c r="T228" i="1"/>
  <c r="U228" i="1" s="1"/>
  <c r="T229" i="1"/>
  <c r="T230" i="1"/>
  <c r="V230" i="1" s="1"/>
  <c r="T231" i="1"/>
  <c r="T232" i="1"/>
  <c r="T233" i="1"/>
  <c r="T234" i="1"/>
  <c r="W234" i="1" s="1"/>
  <c r="T235" i="1"/>
  <c r="V235" i="1" s="1"/>
  <c r="T236" i="1"/>
  <c r="V236" i="1" s="1"/>
  <c r="T237" i="1"/>
  <c r="U237" i="1" s="1"/>
  <c r="T238" i="1"/>
  <c r="U238" i="1" s="1"/>
  <c r="T239" i="1"/>
  <c r="U239" i="1" s="1"/>
  <c r="T240" i="1"/>
  <c r="V240" i="1" s="1"/>
  <c r="T241" i="1"/>
  <c r="W241" i="1" s="1"/>
  <c r="T242" i="1"/>
  <c r="W242" i="1" s="1"/>
  <c r="T243" i="1"/>
  <c r="T244" i="1"/>
  <c r="T245" i="1"/>
  <c r="T246" i="1"/>
  <c r="U246" i="1" s="1"/>
  <c r="T247" i="1"/>
  <c r="U247" i="1" s="1"/>
  <c r="T248" i="1"/>
  <c r="W248" i="1" s="1"/>
  <c r="T249" i="1"/>
  <c r="U249" i="1" s="1"/>
  <c r="T250" i="1"/>
  <c r="U250" i="1" s="1"/>
  <c r="T251" i="1"/>
  <c r="U251" i="1" s="1"/>
  <c r="T252" i="1"/>
  <c r="U252" i="1" s="1"/>
  <c r="T253" i="1"/>
  <c r="T254" i="1"/>
  <c r="V254" i="1" s="1"/>
  <c r="T161" i="1"/>
  <c r="T162" i="1"/>
  <c r="T163" i="1"/>
  <c r="T164" i="1"/>
  <c r="W164" i="1" s="1"/>
  <c r="T165" i="1"/>
  <c r="V165" i="1" s="1"/>
  <c r="T166" i="1"/>
  <c r="W166" i="1" s="1"/>
  <c r="T167" i="1"/>
  <c r="U167" i="1" s="1"/>
  <c r="T168" i="1"/>
  <c r="U168" i="1" s="1"/>
  <c r="T169" i="1"/>
  <c r="U169" i="1" s="1"/>
  <c r="T170" i="1"/>
  <c r="U170" i="1" s="1"/>
  <c r="T171" i="1"/>
  <c r="W171" i="1" s="1"/>
  <c r="T172" i="1"/>
  <c r="U172" i="1" s="1"/>
  <c r="T173" i="1"/>
  <c r="T174" i="1"/>
  <c r="T175" i="1"/>
  <c r="T176" i="1"/>
  <c r="U176" i="1" s="1"/>
  <c r="T177" i="1"/>
  <c r="U177" i="1" s="1"/>
  <c r="T178" i="1"/>
  <c r="U178" i="1" s="1"/>
  <c r="T179" i="1"/>
  <c r="U179" i="1" s="1"/>
  <c r="T180" i="1"/>
  <c r="U180" i="1" s="1"/>
  <c r="T181" i="1"/>
  <c r="U181" i="1" s="1"/>
  <c r="T182" i="1"/>
  <c r="U182" i="1" s="1"/>
  <c r="T183" i="1"/>
  <c r="T184" i="1"/>
  <c r="U184" i="1" s="1"/>
  <c r="T185" i="1"/>
  <c r="T186" i="1"/>
  <c r="T187" i="1"/>
  <c r="T333" i="1"/>
  <c r="W333" i="1" s="1"/>
  <c r="T334" i="1"/>
  <c r="U334" i="1" s="1"/>
  <c r="T335" i="1"/>
  <c r="V335" i="1" s="1"/>
  <c r="T336" i="1"/>
  <c r="U336" i="1" s="1"/>
  <c r="T337" i="1"/>
  <c r="U337" i="1" s="1"/>
  <c r="T338" i="1"/>
  <c r="U338" i="1" s="1"/>
  <c r="T339" i="1"/>
  <c r="W339" i="1" s="1"/>
  <c r="T340" i="1"/>
  <c r="W340" i="1" s="1"/>
  <c r="T341" i="1"/>
  <c r="V341" i="1" s="1"/>
  <c r="T342" i="1"/>
  <c r="T343" i="1"/>
  <c r="T344" i="1"/>
  <c r="T345" i="1"/>
  <c r="U345" i="1" s="1"/>
  <c r="T346" i="1"/>
  <c r="U346" i="1" s="1"/>
  <c r="T347" i="1"/>
  <c r="V347" i="1" s="1"/>
  <c r="T348" i="1"/>
  <c r="U348" i="1" s="1"/>
  <c r="T349" i="1"/>
  <c r="U349" i="1" s="1"/>
  <c r="T350" i="1"/>
  <c r="U350" i="1" s="1"/>
  <c r="T351" i="1"/>
  <c r="U351" i="1" s="1"/>
  <c r="T352" i="1"/>
  <c r="W352" i="1" s="1"/>
  <c r="T353" i="1"/>
  <c r="W353" i="1" s="1"/>
  <c r="T354" i="1"/>
  <c r="T355" i="1"/>
  <c r="T356" i="1"/>
  <c r="T357" i="1"/>
  <c r="U357" i="1" s="1"/>
  <c r="T358" i="1"/>
  <c r="U358" i="1" s="1"/>
  <c r="T359" i="1"/>
  <c r="V359" i="1" s="1"/>
  <c r="T360" i="1"/>
  <c r="U360" i="1" s="1"/>
  <c r="T361" i="1"/>
  <c r="U361" i="1" s="1"/>
  <c r="T362" i="1"/>
  <c r="U362" i="1" s="1"/>
  <c r="T363" i="1"/>
  <c r="U363" i="1" s="1"/>
  <c r="T364" i="1"/>
  <c r="W364" i="1" s="1"/>
  <c r="T365" i="1"/>
  <c r="U365" i="1" s="1"/>
  <c r="T366" i="1"/>
  <c r="T367" i="1"/>
  <c r="T368" i="1"/>
  <c r="W368" i="1" s="1"/>
  <c r="T369" i="1"/>
  <c r="U369" i="1" s="1"/>
  <c r="T370" i="1"/>
  <c r="U370" i="1" s="1"/>
  <c r="T371" i="1"/>
  <c r="U371" i="1" s="1"/>
  <c r="T69" i="1"/>
  <c r="U69" i="1" s="1"/>
  <c r="T70" i="1"/>
  <c r="V70" i="1" s="1"/>
  <c r="T71" i="1"/>
  <c r="U71" i="1" s="1"/>
  <c r="T72" i="1"/>
  <c r="T73" i="1"/>
  <c r="T74" i="1"/>
  <c r="U74" i="1" s="1"/>
  <c r="T75" i="1"/>
  <c r="T76" i="1"/>
  <c r="U76" i="1" s="1"/>
  <c r="T77" i="1"/>
  <c r="T78" i="1"/>
  <c r="U78" i="1" s="1"/>
  <c r="T79" i="1"/>
  <c r="U79" i="1" s="1"/>
  <c r="T80" i="1"/>
  <c r="U80" i="1" s="1"/>
  <c r="T81" i="1"/>
  <c r="U81" i="1" s="1"/>
  <c r="T82" i="1"/>
  <c r="U82" i="1" s="1"/>
  <c r="T255" i="1"/>
  <c r="W193" i="1"/>
  <c r="U86" i="1"/>
  <c r="V86" i="1"/>
  <c r="W86" i="1"/>
  <c r="U96" i="1"/>
  <c r="V96" i="1"/>
  <c r="W96" i="1"/>
  <c r="U269" i="1"/>
  <c r="V19" i="1"/>
  <c r="W19" i="1"/>
  <c r="W20" i="1"/>
  <c r="W103" i="1"/>
  <c r="U108" i="1"/>
  <c r="V108" i="1"/>
  <c r="W109" i="1"/>
  <c r="W121" i="1"/>
  <c r="U132" i="1"/>
  <c r="U278" i="1"/>
  <c r="W290" i="1"/>
  <c r="W291" i="1"/>
  <c r="V314" i="1"/>
  <c r="U326" i="1"/>
  <c r="W331" i="1"/>
  <c r="U332" i="1"/>
  <c r="U29" i="1"/>
  <c r="U41" i="1"/>
  <c r="V221" i="1"/>
  <c r="W222" i="1"/>
  <c r="W159" i="1"/>
  <c r="V160" i="1"/>
  <c r="V65" i="1"/>
  <c r="U236" i="1"/>
  <c r="U166" i="1"/>
  <c r="V166" i="1"/>
  <c r="U335" i="1"/>
  <c r="W335" i="1"/>
  <c r="U359" i="1"/>
  <c r="W359" i="1"/>
  <c r="V273" i="1" l="1"/>
  <c r="U2" i="1"/>
  <c r="W360" i="1"/>
  <c r="U124" i="1"/>
  <c r="U339" i="1"/>
  <c r="W336" i="1"/>
  <c r="Z336" i="1" s="1"/>
  <c r="U258" i="1"/>
  <c r="W97" i="1"/>
  <c r="W35" i="1"/>
  <c r="V97" i="1"/>
  <c r="U296" i="1"/>
  <c r="W235" i="1"/>
  <c r="V339" i="1"/>
  <c r="Y339" i="1" s="1"/>
  <c r="V52" i="1"/>
  <c r="V14" i="1"/>
  <c r="U227" i="1"/>
  <c r="U313" i="1"/>
  <c r="W152" i="1"/>
  <c r="U165" i="1"/>
  <c r="W301" i="1"/>
  <c r="W258" i="1"/>
  <c r="W363" i="1"/>
  <c r="V181" i="1"/>
  <c r="W57" i="1"/>
  <c r="W330" i="1"/>
  <c r="Z330" i="1" s="1"/>
  <c r="V200" i="1"/>
  <c r="U197" i="1"/>
  <c r="U330" i="1"/>
  <c r="W282" i="1"/>
  <c r="W271" i="1"/>
  <c r="W170" i="1"/>
  <c r="V213" i="1"/>
  <c r="V282" i="1"/>
  <c r="U188" i="1"/>
  <c r="V353" i="1"/>
  <c r="Y353" i="1" s="1"/>
  <c r="U213" i="1"/>
  <c r="W207" i="1"/>
  <c r="W200" i="1"/>
  <c r="V154" i="1"/>
  <c r="W212" i="1"/>
  <c r="U138" i="1"/>
  <c r="V207" i="1"/>
  <c r="W12" i="1"/>
  <c r="U240" i="1"/>
  <c r="U154" i="1"/>
  <c r="W4" i="1"/>
  <c r="U230" i="1"/>
  <c r="V152" i="1"/>
  <c r="W296" i="1"/>
  <c r="W124" i="1"/>
  <c r="W110" i="1"/>
  <c r="W13" i="1"/>
  <c r="V13" i="1"/>
  <c r="Y347" i="1"/>
  <c r="W65" i="1"/>
  <c r="U160" i="1"/>
  <c r="W221" i="1"/>
  <c r="V29" i="1"/>
  <c r="W314" i="1"/>
  <c r="W132" i="1"/>
  <c r="V290" i="1"/>
  <c r="X359" i="1"/>
  <c r="W80" i="1"/>
  <c r="Z80" i="1" s="1"/>
  <c r="W178" i="1"/>
  <c r="V248" i="1"/>
  <c r="V80" i="1"/>
  <c r="Y80" i="1" s="1"/>
  <c r="W347" i="1"/>
  <c r="Z347" i="1" s="1"/>
  <c r="V178" i="1"/>
  <c r="U248" i="1"/>
  <c r="W63" i="1"/>
  <c r="W312" i="1"/>
  <c r="V268" i="1"/>
  <c r="V246" i="1"/>
  <c r="X320" i="1"/>
  <c r="X339" i="1"/>
  <c r="W371" i="1"/>
  <c r="Z340" i="1"/>
  <c r="V176" i="1"/>
  <c r="W53" i="1"/>
  <c r="W302" i="1"/>
  <c r="W120" i="1"/>
  <c r="W104" i="1"/>
  <c r="Z96" i="1"/>
  <c r="V195" i="1"/>
  <c r="V371" i="1"/>
  <c r="W236" i="1"/>
  <c r="V53" i="1"/>
  <c r="W148" i="1"/>
  <c r="W41" i="1"/>
  <c r="W326" i="1"/>
  <c r="Z326" i="1" s="1"/>
  <c r="V302" i="1"/>
  <c r="W278" i="1"/>
  <c r="V120" i="1"/>
  <c r="V104" i="1"/>
  <c r="Y104" i="1" s="1"/>
  <c r="U347" i="1"/>
  <c r="X347" i="1" s="1"/>
  <c r="U148" i="1"/>
  <c r="X71" i="1"/>
  <c r="W71" i="1"/>
  <c r="Z71" i="1" s="1"/>
  <c r="X336" i="1"/>
  <c r="X327" i="1"/>
  <c r="X87" i="1"/>
  <c r="W47" i="1"/>
  <c r="V20" i="1"/>
  <c r="X90" i="1"/>
  <c r="W196" i="1"/>
  <c r="X80" i="1"/>
  <c r="X69" i="1"/>
  <c r="V349" i="1"/>
  <c r="Y349" i="1" s="1"/>
  <c r="Y335" i="1"/>
  <c r="W172" i="1"/>
  <c r="W215" i="1"/>
  <c r="Y326" i="1"/>
  <c r="W348" i="1"/>
  <c r="Z348" i="1" s="1"/>
  <c r="X335" i="1"/>
  <c r="W246" i="1"/>
  <c r="W149" i="1"/>
  <c r="U215" i="1"/>
  <c r="V31" i="1"/>
  <c r="X326" i="1"/>
  <c r="W308" i="1"/>
  <c r="W135" i="1"/>
  <c r="W114" i="1"/>
  <c r="V89" i="1"/>
  <c r="Y89" i="1" s="1"/>
  <c r="W195" i="1"/>
  <c r="W2" i="1"/>
  <c r="X79" i="1"/>
  <c r="X358" i="1"/>
  <c r="X346" i="1"/>
  <c r="X334" i="1"/>
  <c r="V64" i="1"/>
  <c r="W64" i="1"/>
  <c r="X325" i="1"/>
  <c r="X85" i="1"/>
  <c r="X349" i="1"/>
  <c r="X96" i="1"/>
  <c r="U44" i="1"/>
  <c r="W30" i="1"/>
  <c r="V284" i="1"/>
  <c r="X345" i="1"/>
  <c r="Y96" i="1"/>
  <c r="X337" i="1"/>
  <c r="X348" i="1"/>
  <c r="W184" i="1"/>
  <c r="Z324" i="1"/>
  <c r="Z88" i="1"/>
  <c r="X78" i="1"/>
  <c r="X357" i="1"/>
  <c r="Z333" i="1"/>
  <c r="V184" i="1"/>
  <c r="V170" i="1"/>
  <c r="V242" i="1"/>
  <c r="W320" i="1"/>
  <c r="Z320" i="1" s="1"/>
  <c r="U306" i="1"/>
  <c r="U284" i="1"/>
  <c r="U111" i="1"/>
  <c r="W204" i="1"/>
  <c r="W87" i="1"/>
  <c r="Z87" i="1" s="1"/>
  <c r="W268" i="1"/>
  <c r="Y70" i="1"/>
  <c r="Z335" i="1"/>
  <c r="X315" i="1"/>
  <c r="V202" i="1"/>
  <c r="X350" i="1"/>
  <c r="X330" i="1"/>
  <c r="Z352" i="1"/>
  <c r="X81" i="1"/>
  <c r="U242" i="1"/>
  <c r="V320" i="1"/>
  <c r="Y320" i="1" s="1"/>
  <c r="V87" i="1"/>
  <c r="Y87" i="1" s="1"/>
  <c r="U194" i="1"/>
  <c r="X76" i="1"/>
  <c r="V363" i="1"/>
  <c r="U341" i="1"/>
  <c r="X341" i="1" s="1"/>
  <c r="W59" i="1"/>
  <c r="V227" i="1"/>
  <c r="W126" i="1"/>
  <c r="V110" i="1"/>
  <c r="U273" i="1"/>
  <c r="Z86" i="1"/>
  <c r="X318" i="1"/>
  <c r="Y86" i="1"/>
  <c r="Y341" i="1"/>
  <c r="Y332" i="1"/>
  <c r="Y92" i="1"/>
  <c r="X74" i="1"/>
  <c r="Z353" i="1"/>
  <c r="W81" i="1"/>
  <c r="Z81" i="1" s="1"/>
  <c r="Z359" i="1"/>
  <c r="Z339" i="1"/>
  <c r="W179" i="1"/>
  <c r="W54" i="1"/>
  <c r="W210" i="1"/>
  <c r="Z331" i="1"/>
  <c r="V317" i="1"/>
  <c r="Y317" i="1" s="1"/>
  <c r="W279" i="1"/>
  <c r="V269" i="1"/>
  <c r="X86" i="1"/>
  <c r="Z91" i="1"/>
  <c r="X332" i="1"/>
  <c r="Y359" i="1"/>
  <c r="Z84" i="1"/>
  <c r="X351" i="1"/>
  <c r="X338" i="1"/>
  <c r="X329" i="1"/>
  <c r="X317" i="1"/>
  <c r="X89" i="1"/>
  <c r="Y330" i="1"/>
  <c r="X82" i="1"/>
  <c r="X316" i="1"/>
  <c r="W255" i="1"/>
  <c r="U255" i="1"/>
  <c r="W82" i="2"/>
  <c r="Z82" i="2" s="1"/>
  <c r="V82" i="2"/>
  <c r="Y82" i="2" s="1"/>
  <c r="U82" i="2"/>
  <c r="X82" i="2" s="1"/>
  <c r="W83" i="2"/>
  <c r="Z83" i="2" s="1"/>
  <c r="V83" i="2"/>
  <c r="Y83" i="2" s="1"/>
  <c r="U83" i="2"/>
  <c r="X83" i="2" s="1"/>
  <c r="W84" i="2"/>
  <c r="Z84" i="2" s="1"/>
  <c r="V84" i="2"/>
  <c r="Y84" i="2" s="1"/>
  <c r="U84" i="2"/>
  <c r="X84" i="2" s="1"/>
  <c r="W85" i="2"/>
  <c r="Z85" i="2" s="1"/>
  <c r="V85" i="2"/>
  <c r="Y85" i="2" s="1"/>
  <c r="U85" i="2"/>
  <c r="X85" i="2" s="1"/>
  <c r="W86" i="2"/>
  <c r="Z86" i="2" s="1"/>
  <c r="V86" i="2"/>
  <c r="Y86" i="2" s="1"/>
  <c r="U86" i="2"/>
  <c r="X86" i="2" s="1"/>
  <c r="W87" i="2"/>
  <c r="Z87" i="2" s="1"/>
  <c r="V87" i="2"/>
  <c r="Y87" i="2" s="1"/>
  <c r="U87" i="2"/>
  <c r="X87" i="2" s="1"/>
  <c r="W88" i="2"/>
  <c r="Z88" i="2" s="1"/>
  <c r="V88" i="2"/>
  <c r="Y88" i="2" s="1"/>
  <c r="U88" i="2"/>
  <c r="X88" i="2" s="1"/>
  <c r="W89" i="2"/>
  <c r="Z89" i="2" s="1"/>
  <c r="V89" i="2"/>
  <c r="Y89" i="2" s="1"/>
  <c r="U89" i="2"/>
  <c r="X89" i="2" s="1"/>
  <c r="W90" i="2"/>
  <c r="Z90" i="2" s="1"/>
  <c r="V90" i="2"/>
  <c r="Y90" i="2" s="1"/>
  <c r="U90" i="2"/>
  <c r="X90" i="2" s="1"/>
  <c r="W91" i="2"/>
  <c r="Z91" i="2" s="1"/>
  <c r="V91" i="2"/>
  <c r="Y91" i="2" s="1"/>
  <c r="U91" i="2"/>
  <c r="X91" i="2" s="1"/>
  <c r="W92" i="2"/>
  <c r="Z92" i="2" s="1"/>
  <c r="V92" i="2"/>
  <c r="Y92" i="2" s="1"/>
  <c r="U92" i="2"/>
  <c r="X92" i="2" s="1"/>
  <c r="W93" i="2"/>
  <c r="Z93" i="2" s="1"/>
  <c r="V93" i="2"/>
  <c r="Y93" i="2" s="1"/>
  <c r="U93" i="2"/>
  <c r="X93" i="2" s="1"/>
  <c r="W94" i="2"/>
  <c r="Z94" i="2" s="1"/>
  <c r="V94" i="2"/>
  <c r="Y94" i="2" s="1"/>
  <c r="U94" i="2"/>
  <c r="X94" i="2" s="1"/>
  <c r="W95" i="2"/>
  <c r="Z95" i="2" s="1"/>
  <c r="V95" i="2"/>
  <c r="Y95" i="2" s="1"/>
  <c r="U95" i="2"/>
  <c r="X95" i="2" s="1"/>
  <c r="W96" i="2"/>
  <c r="Z96" i="2" s="1"/>
  <c r="V96" i="2"/>
  <c r="Y96" i="2" s="1"/>
  <c r="U96" i="2"/>
  <c r="X96" i="2" s="1"/>
  <c r="W97" i="2"/>
  <c r="Z97" i="2" s="1"/>
  <c r="V97" i="2"/>
  <c r="Y97" i="2" s="1"/>
  <c r="U97" i="2"/>
  <c r="X97" i="2" s="1"/>
  <c r="W98" i="2"/>
  <c r="Z98" i="2" s="1"/>
  <c r="V98" i="2"/>
  <c r="Y98" i="2" s="1"/>
  <c r="U98" i="2"/>
  <c r="X98" i="2" s="1"/>
  <c r="W99" i="2"/>
  <c r="Z99" i="2" s="1"/>
  <c r="V99" i="2"/>
  <c r="Y99" i="2" s="1"/>
  <c r="U99" i="2"/>
  <c r="X99" i="2" s="1"/>
  <c r="W100" i="2"/>
  <c r="Z100" i="2" s="1"/>
  <c r="V100" i="2"/>
  <c r="Y100" i="2" s="1"/>
  <c r="U100" i="2"/>
  <c r="X100" i="2" s="1"/>
  <c r="W101" i="2"/>
  <c r="Z101" i="2" s="1"/>
  <c r="V101" i="2"/>
  <c r="Y101" i="2" s="1"/>
  <c r="U101" i="2"/>
  <c r="X101" i="2" s="1"/>
  <c r="W102" i="2"/>
  <c r="Z102" i="2" s="1"/>
  <c r="V102" i="2"/>
  <c r="Y102" i="2" s="1"/>
  <c r="U102" i="2"/>
  <c r="X102" i="2" s="1"/>
  <c r="W103" i="2"/>
  <c r="Z103" i="2" s="1"/>
  <c r="V103" i="2"/>
  <c r="Y103" i="2" s="1"/>
  <c r="U103" i="2"/>
  <c r="X103" i="2" s="1"/>
  <c r="W104" i="2"/>
  <c r="Z104" i="2" s="1"/>
  <c r="V104" i="2"/>
  <c r="Y104" i="2" s="1"/>
  <c r="U104" i="2"/>
  <c r="X104" i="2" s="1"/>
  <c r="W105" i="2"/>
  <c r="Z105" i="2" s="1"/>
  <c r="V105" i="2"/>
  <c r="Y105" i="2" s="1"/>
  <c r="U105" i="2"/>
  <c r="X105" i="2" s="1"/>
  <c r="W106" i="2"/>
  <c r="Z106" i="2" s="1"/>
  <c r="V106" i="2"/>
  <c r="Y106" i="2" s="1"/>
  <c r="U106" i="2"/>
  <c r="X106" i="2" s="1"/>
  <c r="W107" i="2"/>
  <c r="Z107" i="2" s="1"/>
  <c r="V107" i="2"/>
  <c r="Y107" i="2" s="1"/>
  <c r="U107" i="2"/>
  <c r="X107" i="2" s="1"/>
  <c r="W108" i="2"/>
  <c r="Z108" i="2" s="1"/>
  <c r="V108" i="2"/>
  <c r="Y108" i="2" s="1"/>
  <c r="U108" i="2"/>
  <c r="X108" i="2" s="1"/>
  <c r="W109" i="2"/>
  <c r="Z109" i="2" s="1"/>
  <c r="V109" i="2"/>
  <c r="Y109" i="2" s="1"/>
  <c r="U109" i="2"/>
  <c r="X109" i="2" s="1"/>
  <c r="W110" i="2"/>
  <c r="Z110" i="2" s="1"/>
  <c r="V110" i="2"/>
  <c r="Y110" i="2" s="1"/>
  <c r="U110" i="2"/>
  <c r="X110" i="2" s="1"/>
  <c r="W111" i="2"/>
  <c r="Z111" i="2" s="1"/>
  <c r="V111" i="2"/>
  <c r="Y111" i="2" s="1"/>
  <c r="U111" i="2"/>
  <c r="X111" i="2" s="1"/>
  <c r="W112" i="2"/>
  <c r="Z112" i="2" s="1"/>
  <c r="V112" i="2"/>
  <c r="Y112" i="2" s="1"/>
  <c r="U112" i="2"/>
  <c r="X112" i="2" s="1"/>
  <c r="W113" i="2"/>
  <c r="Z113" i="2" s="1"/>
  <c r="V113" i="2"/>
  <c r="Y113" i="2" s="1"/>
  <c r="U113" i="2"/>
  <c r="X113" i="2" s="1"/>
  <c r="W114" i="2"/>
  <c r="Z114" i="2" s="1"/>
  <c r="V114" i="2"/>
  <c r="Y114" i="2" s="1"/>
  <c r="U114" i="2"/>
  <c r="X114" i="2" s="1"/>
  <c r="W115" i="2"/>
  <c r="Z115" i="2" s="1"/>
  <c r="V115" i="2"/>
  <c r="Y115" i="2" s="1"/>
  <c r="U115" i="2"/>
  <c r="X115" i="2" s="1"/>
  <c r="W116" i="2"/>
  <c r="Z116" i="2" s="1"/>
  <c r="V116" i="2"/>
  <c r="Y116" i="2" s="1"/>
  <c r="U116" i="2"/>
  <c r="X116" i="2" s="1"/>
  <c r="W117" i="2"/>
  <c r="Z117" i="2" s="1"/>
  <c r="V117" i="2"/>
  <c r="Y117" i="2" s="1"/>
  <c r="U117" i="2"/>
  <c r="X117" i="2" s="1"/>
  <c r="W118" i="2"/>
  <c r="Z118" i="2" s="1"/>
  <c r="V118" i="2"/>
  <c r="Y118" i="2" s="1"/>
  <c r="U118" i="2"/>
  <c r="X118" i="2" s="1"/>
  <c r="W119" i="2"/>
  <c r="Z119" i="2" s="1"/>
  <c r="V119" i="2"/>
  <c r="Y119" i="2" s="1"/>
  <c r="U119" i="2"/>
  <c r="X119" i="2" s="1"/>
  <c r="W120" i="2"/>
  <c r="Z120" i="2" s="1"/>
  <c r="V120" i="2"/>
  <c r="Y120" i="2" s="1"/>
  <c r="U120" i="2"/>
  <c r="X120" i="2" s="1"/>
  <c r="W26" i="2"/>
  <c r="Z26" i="2" s="1"/>
  <c r="V26" i="2"/>
  <c r="Y26" i="2" s="1"/>
  <c r="U26" i="2"/>
  <c r="X26" i="2" s="1"/>
  <c r="W27" i="2"/>
  <c r="Z27" i="2" s="1"/>
  <c r="V27" i="2"/>
  <c r="Y27" i="2" s="1"/>
  <c r="U27" i="2"/>
  <c r="X27" i="2" s="1"/>
  <c r="W28" i="2"/>
  <c r="Z28" i="2" s="1"/>
  <c r="V28" i="2"/>
  <c r="Y28" i="2" s="1"/>
  <c r="U28" i="2"/>
  <c r="X28" i="2" s="1"/>
  <c r="W29" i="2"/>
  <c r="Z29" i="2" s="1"/>
  <c r="V29" i="2"/>
  <c r="Y29" i="2" s="1"/>
  <c r="U29" i="2"/>
  <c r="X29" i="2" s="1"/>
  <c r="W30" i="2"/>
  <c r="Z30" i="2" s="1"/>
  <c r="V30" i="2"/>
  <c r="Y30" i="2" s="1"/>
  <c r="U30" i="2"/>
  <c r="X30" i="2" s="1"/>
  <c r="W31" i="2"/>
  <c r="Z31" i="2" s="1"/>
  <c r="V31" i="2"/>
  <c r="Y31" i="2" s="1"/>
  <c r="U31" i="2"/>
  <c r="X31" i="2" s="1"/>
  <c r="W32" i="2"/>
  <c r="Z32" i="2" s="1"/>
  <c r="V32" i="2"/>
  <c r="Y32" i="2" s="1"/>
  <c r="U32" i="2"/>
  <c r="X32" i="2" s="1"/>
  <c r="W33" i="2"/>
  <c r="Z33" i="2" s="1"/>
  <c r="V33" i="2"/>
  <c r="Y33" i="2" s="1"/>
  <c r="U33" i="2"/>
  <c r="X33" i="2" s="1"/>
  <c r="W34" i="2"/>
  <c r="Z34" i="2" s="1"/>
  <c r="V34" i="2"/>
  <c r="Y34" i="2" s="1"/>
  <c r="U34" i="2"/>
  <c r="X34" i="2" s="1"/>
  <c r="W35" i="2"/>
  <c r="Z35" i="2" s="1"/>
  <c r="V35" i="2"/>
  <c r="Y35" i="2" s="1"/>
  <c r="U35" i="2"/>
  <c r="X35" i="2" s="1"/>
  <c r="W36" i="2"/>
  <c r="Z36" i="2" s="1"/>
  <c r="V36" i="2"/>
  <c r="Y36" i="2" s="1"/>
  <c r="U36" i="2"/>
  <c r="X36" i="2" s="1"/>
  <c r="W37" i="2"/>
  <c r="Z37" i="2" s="1"/>
  <c r="V37" i="2"/>
  <c r="Y37" i="2" s="1"/>
  <c r="U37" i="2"/>
  <c r="X37" i="2" s="1"/>
  <c r="W38" i="2"/>
  <c r="Z38" i="2" s="1"/>
  <c r="V38" i="2"/>
  <c r="Y38" i="2" s="1"/>
  <c r="U38" i="2"/>
  <c r="X38" i="2" s="1"/>
  <c r="W39" i="2"/>
  <c r="Z39" i="2" s="1"/>
  <c r="V39" i="2"/>
  <c r="Y39" i="2" s="1"/>
  <c r="U39" i="2"/>
  <c r="X39" i="2" s="1"/>
  <c r="W40" i="2"/>
  <c r="Z40" i="2" s="1"/>
  <c r="V40" i="2"/>
  <c r="Y40" i="2" s="1"/>
  <c r="U40" i="2"/>
  <c r="X40" i="2" s="1"/>
  <c r="W41" i="2"/>
  <c r="Z41" i="2" s="1"/>
  <c r="V41" i="2"/>
  <c r="Y41" i="2" s="1"/>
  <c r="U41" i="2"/>
  <c r="X41" i="2" s="1"/>
  <c r="W42" i="2"/>
  <c r="Z42" i="2" s="1"/>
  <c r="V42" i="2"/>
  <c r="Y42" i="2" s="1"/>
  <c r="U42" i="2"/>
  <c r="X42" i="2" s="1"/>
  <c r="W43" i="2"/>
  <c r="Z43" i="2" s="1"/>
  <c r="V43" i="2"/>
  <c r="Y43" i="2" s="1"/>
  <c r="U43" i="2"/>
  <c r="X43" i="2" s="1"/>
  <c r="W44" i="2"/>
  <c r="Z44" i="2" s="1"/>
  <c r="V44" i="2"/>
  <c r="Y44" i="2" s="1"/>
  <c r="U44" i="2"/>
  <c r="X44" i="2" s="1"/>
  <c r="W45" i="2"/>
  <c r="Z45" i="2" s="1"/>
  <c r="V45" i="2"/>
  <c r="Y45" i="2" s="1"/>
  <c r="U45" i="2"/>
  <c r="X45" i="2" s="1"/>
  <c r="W46" i="2"/>
  <c r="Z46" i="2" s="1"/>
  <c r="V46" i="2"/>
  <c r="Y46" i="2" s="1"/>
  <c r="U46" i="2"/>
  <c r="X46" i="2" s="1"/>
  <c r="W47" i="2"/>
  <c r="Z47" i="2" s="1"/>
  <c r="V47" i="2"/>
  <c r="Y47" i="2" s="1"/>
  <c r="U47" i="2"/>
  <c r="X47" i="2" s="1"/>
  <c r="W48" i="2"/>
  <c r="Z48" i="2" s="1"/>
  <c r="V48" i="2"/>
  <c r="Y48" i="2" s="1"/>
  <c r="U48" i="2"/>
  <c r="X48" i="2" s="1"/>
  <c r="W49" i="2"/>
  <c r="Z49" i="2" s="1"/>
  <c r="V49" i="2"/>
  <c r="Y49" i="2" s="1"/>
  <c r="U49" i="2"/>
  <c r="X49" i="2" s="1"/>
  <c r="W50" i="2"/>
  <c r="Z50" i="2" s="1"/>
  <c r="V50" i="2"/>
  <c r="Y50" i="2" s="1"/>
  <c r="U50" i="2"/>
  <c r="X50" i="2" s="1"/>
  <c r="W51" i="2"/>
  <c r="Z51" i="2" s="1"/>
  <c r="V51" i="2"/>
  <c r="Y51" i="2" s="1"/>
  <c r="U51" i="2"/>
  <c r="X51" i="2" s="1"/>
  <c r="W52" i="2"/>
  <c r="Z52" i="2" s="1"/>
  <c r="V52" i="2"/>
  <c r="Y52" i="2" s="1"/>
  <c r="U52" i="2"/>
  <c r="X52" i="2" s="1"/>
  <c r="W53" i="2"/>
  <c r="Z53" i="2" s="1"/>
  <c r="V53" i="2"/>
  <c r="Y53" i="2" s="1"/>
  <c r="U53" i="2"/>
  <c r="X53" i="2" s="1"/>
  <c r="W54" i="2"/>
  <c r="Z54" i="2" s="1"/>
  <c r="V54" i="2"/>
  <c r="Y54" i="2" s="1"/>
  <c r="U54" i="2"/>
  <c r="X54" i="2" s="1"/>
  <c r="W55" i="2"/>
  <c r="Z55" i="2" s="1"/>
  <c r="V55" i="2"/>
  <c r="Y55" i="2" s="1"/>
  <c r="U55" i="2"/>
  <c r="X55" i="2" s="1"/>
  <c r="W56" i="2"/>
  <c r="Z56" i="2" s="1"/>
  <c r="V56" i="2"/>
  <c r="Y56" i="2" s="1"/>
  <c r="U56" i="2"/>
  <c r="X56" i="2" s="1"/>
  <c r="W57" i="2"/>
  <c r="Z57" i="2" s="1"/>
  <c r="V57" i="2"/>
  <c r="Y57" i="2" s="1"/>
  <c r="U57" i="2"/>
  <c r="X57" i="2" s="1"/>
  <c r="W58" i="2"/>
  <c r="Z58" i="2" s="1"/>
  <c r="V58" i="2"/>
  <c r="Y58" i="2" s="1"/>
  <c r="U58" i="2"/>
  <c r="X58" i="2" s="1"/>
  <c r="W59" i="2"/>
  <c r="Z59" i="2" s="1"/>
  <c r="V59" i="2"/>
  <c r="Y59" i="2" s="1"/>
  <c r="U59" i="2"/>
  <c r="X59" i="2" s="1"/>
  <c r="W60" i="2"/>
  <c r="Z60" i="2" s="1"/>
  <c r="V60" i="2"/>
  <c r="Y60" i="2" s="1"/>
  <c r="U60" i="2"/>
  <c r="X60" i="2" s="1"/>
  <c r="W61" i="2"/>
  <c r="Z61" i="2" s="1"/>
  <c r="V61" i="2"/>
  <c r="Y61" i="2" s="1"/>
  <c r="U61" i="2"/>
  <c r="X61" i="2" s="1"/>
  <c r="W62" i="2"/>
  <c r="Z62" i="2" s="1"/>
  <c r="V62" i="2"/>
  <c r="Y62" i="2" s="1"/>
  <c r="U62" i="2"/>
  <c r="X62" i="2" s="1"/>
  <c r="W63" i="2"/>
  <c r="Z63" i="2" s="1"/>
  <c r="V63" i="2"/>
  <c r="Y63" i="2" s="1"/>
  <c r="U63" i="2"/>
  <c r="X63" i="2" s="1"/>
  <c r="W64" i="2"/>
  <c r="Z64" i="2" s="1"/>
  <c r="V64" i="2"/>
  <c r="Y64" i="2" s="1"/>
  <c r="U64" i="2"/>
  <c r="X64" i="2" s="1"/>
  <c r="W65" i="2"/>
  <c r="Z65" i="2" s="1"/>
  <c r="V65" i="2"/>
  <c r="Y65" i="2" s="1"/>
  <c r="U65" i="2"/>
  <c r="X65" i="2" s="1"/>
  <c r="W66" i="2"/>
  <c r="Z66" i="2" s="1"/>
  <c r="V66" i="2"/>
  <c r="Y66" i="2" s="1"/>
  <c r="U66" i="2"/>
  <c r="X66" i="2" s="1"/>
  <c r="W67" i="2"/>
  <c r="Z67" i="2" s="1"/>
  <c r="V67" i="2"/>
  <c r="Y67" i="2" s="1"/>
  <c r="U67" i="2"/>
  <c r="X67" i="2" s="1"/>
  <c r="W68" i="2"/>
  <c r="Z68" i="2" s="1"/>
  <c r="V68" i="2"/>
  <c r="Y68" i="2" s="1"/>
  <c r="U68" i="2"/>
  <c r="X68" i="2" s="1"/>
  <c r="W69" i="2"/>
  <c r="Z69" i="2" s="1"/>
  <c r="V69" i="2"/>
  <c r="Y69" i="2" s="1"/>
  <c r="U69" i="2"/>
  <c r="X69" i="2" s="1"/>
  <c r="W70" i="2"/>
  <c r="Z70" i="2" s="1"/>
  <c r="V70" i="2"/>
  <c r="Y70" i="2" s="1"/>
  <c r="U70" i="2"/>
  <c r="X70" i="2" s="1"/>
  <c r="W71" i="2"/>
  <c r="Z71" i="2" s="1"/>
  <c r="V71" i="2"/>
  <c r="Y71" i="2" s="1"/>
  <c r="U71" i="2"/>
  <c r="X71" i="2" s="1"/>
  <c r="W72" i="2"/>
  <c r="Z72" i="2" s="1"/>
  <c r="V72" i="2"/>
  <c r="Y72" i="2" s="1"/>
  <c r="U72" i="2"/>
  <c r="X72" i="2" s="1"/>
  <c r="W73" i="2"/>
  <c r="Z73" i="2" s="1"/>
  <c r="V73" i="2"/>
  <c r="Y73" i="2" s="1"/>
  <c r="U73" i="2"/>
  <c r="X73" i="2" s="1"/>
  <c r="W74" i="2"/>
  <c r="Z74" i="2" s="1"/>
  <c r="V74" i="2"/>
  <c r="Y74" i="2" s="1"/>
  <c r="U74" i="2"/>
  <c r="X74" i="2" s="1"/>
  <c r="W75" i="2"/>
  <c r="Z75" i="2" s="1"/>
  <c r="V75" i="2"/>
  <c r="Y75" i="2" s="1"/>
  <c r="U75" i="2"/>
  <c r="X75" i="2" s="1"/>
  <c r="W76" i="2"/>
  <c r="Z76" i="2" s="1"/>
  <c r="V76" i="2"/>
  <c r="Y76" i="2" s="1"/>
  <c r="U76" i="2"/>
  <c r="X76" i="2" s="1"/>
  <c r="W77" i="2"/>
  <c r="Z77" i="2" s="1"/>
  <c r="V77" i="2"/>
  <c r="Y77" i="2" s="1"/>
  <c r="U77" i="2"/>
  <c r="X77" i="2" s="1"/>
  <c r="W78" i="2"/>
  <c r="Z78" i="2" s="1"/>
  <c r="V78" i="2"/>
  <c r="Y78" i="2" s="1"/>
  <c r="U78" i="2"/>
  <c r="X78" i="2" s="1"/>
  <c r="W79" i="2"/>
  <c r="Z79" i="2" s="1"/>
  <c r="V79" i="2"/>
  <c r="Y79" i="2" s="1"/>
  <c r="U79" i="2"/>
  <c r="X79" i="2" s="1"/>
  <c r="W80" i="2"/>
  <c r="Z80" i="2" s="1"/>
  <c r="V80" i="2"/>
  <c r="Y80" i="2" s="1"/>
  <c r="U80" i="2"/>
  <c r="X80" i="2" s="1"/>
  <c r="W81" i="2"/>
  <c r="Z81" i="2" s="1"/>
  <c r="V81" i="2"/>
  <c r="Y81" i="2" s="1"/>
  <c r="U81" i="2"/>
  <c r="X81" i="2" s="1"/>
  <c r="W18" i="2"/>
  <c r="Z18" i="2" s="1"/>
  <c r="V18" i="2"/>
  <c r="Y18" i="2" s="1"/>
  <c r="U18" i="2"/>
  <c r="X18" i="2" s="1"/>
  <c r="W19" i="2"/>
  <c r="Z19" i="2" s="1"/>
  <c r="V19" i="2"/>
  <c r="Y19" i="2" s="1"/>
  <c r="U19" i="2"/>
  <c r="X19" i="2" s="1"/>
  <c r="W20" i="2"/>
  <c r="Z20" i="2" s="1"/>
  <c r="V20" i="2"/>
  <c r="Y20" i="2" s="1"/>
  <c r="U20" i="2"/>
  <c r="X20" i="2" s="1"/>
  <c r="W21" i="2"/>
  <c r="Z21" i="2" s="1"/>
  <c r="V21" i="2"/>
  <c r="Y21" i="2" s="1"/>
  <c r="U21" i="2"/>
  <c r="X21" i="2" s="1"/>
  <c r="W22" i="2"/>
  <c r="Z22" i="2" s="1"/>
  <c r="V22" i="2"/>
  <c r="Y22" i="2" s="1"/>
  <c r="U22" i="2"/>
  <c r="X22" i="2" s="1"/>
  <c r="W23" i="2"/>
  <c r="Z23" i="2" s="1"/>
  <c r="V23" i="2"/>
  <c r="Y23" i="2" s="1"/>
  <c r="U23" i="2"/>
  <c r="X23" i="2" s="1"/>
  <c r="W24" i="2"/>
  <c r="Z24" i="2" s="1"/>
  <c r="V24" i="2"/>
  <c r="Y24" i="2" s="1"/>
  <c r="U24" i="2"/>
  <c r="X24" i="2" s="1"/>
  <c r="W25" i="2"/>
  <c r="Z25" i="2" s="1"/>
  <c r="V25" i="2"/>
  <c r="Y25" i="2" s="1"/>
  <c r="U25" i="2"/>
  <c r="X25" i="2" s="1"/>
  <c r="W2" i="2"/>
  <c r="V2" i="2"/>
  <c r="U2" i="2"/>
  <c r="W3" i="2"/>
  <c r="V3" i="2"/>
  <c r="U3" i="2"/>
  <c r="W4" i="2"/>
  <c r="V4" i="2"/>
  <c r="U4" i="2"/>
  <c r="W5" i="2"/>
  <c r="V5" i="2"/>
  <c r="U5" i="2"/>
  <c r="W6" i="2"/>
  <c r="V6" i="2"/>
  <c r="U6" i="2"/>
  <c r="W7" i="2"/>
  <c r="V7" i="2"/>
  <c r="U7" i="2"/>
  <c r="W8" i="2"/>
  <c r="V8" i="2"/>
  <c r="U8" i="2"/>
  <c r="W9" i="2"/>
  <c r="V9" i="2"/>
  <c r="U9" i="2"/>
  <c r="W10" i="2"/>
  <c r="V10" i="2"/>
  <c r="U10" i="2"/>
  <c r="W11" i="2"/>
  <c r="V11" i="2"/>
  <c r="U11" i="2"/>
  <c r="W12" i="2"/>
  <c r="V12" i="2"/>
  <c r="U12" i="2"/>
  <c r="W13" i="2"/>
  <c r="V13" i="2"/>
  <c r="U13" i="2"/>
  <c r="W14" i="2"/>
  <c r="V14" i="2"/>
  <c r="U14" i="2"/>
  <c r="W15" i="2"/>
  <c r="V15" i="2"/>
  <c r="U15" i="2"/>
  <c r="W16" i="2"/>
  <c r="V16" i="2"/>
  <c r="U16" i="2"/>
  <c r="W17" i="2"/>
  <c r="Z17" i="2" s="1"/>
  <c r="V17" i="2"/>
  <c r="Y17" i="2" s="1"/>
  <c r="U17" i="2"/>
  <c r="X17" i="2" s="1"/>
  <c r="V257" i="1"/>
  <c r="V159" i="1"/>
  <c r="V312" i="1"/>
  <c r="U301" i="1"/>
  <c r="U12" i="1"/>
  <c r="W256" i="1"/>
  <c r="W370" i="1"/>
  <c r="W250" i="1"/>
  <c r="W158" i="1"/>
  <c r="W131" i="1"/>
  <c r="U193" i="1"/>
  <c r="V370" i="1"/>
  <c r="W358" i="1"/>
  <c r="Z358" i="1" s="1"/>
  <c r="V250" i="1"/>
  <c r="W147" i="1"/>
  <c r="W220" i="1"/>
  <c r="W288" i="1"/>
  <c r="V131" i="1"/>
  <c r="V18" i="1"/>
  <c r="V358" i="1"/>
  <c r="Y358" i="1" s="1"/>
  <c r="W346" i="1"/>
  <c r="Z346" i="1" s="1"/>
  <c r="W249" i="1"/>
  <c r="W240" i="1"/>
  <c r="V57" i="1"/>
  <c r="V147" i="1"/>
  <c r="V220" i="1"/>
  <c r="W327" i="1"/>
  <c r="Z327" i="1" s="1"/>
  <c r="W306" i="1"/>
  <c r="V288" i="1"/>
  <c r="V277" i="1"/>
  <c r="W119" i="1"/>
  <c r="U18" i="1"/>
  <c r="V196" i="1"/>
  <c r="W259" i="1"/>
  <c r="W289" i="1"/>
  <c r="U235" i="1"/>
  <c r="U103" i="1"/>
  <c r="U289" i="1"/>
  <c r="W11" i="1"/>
  <c r="V256" i="1"/>
  <c r="V158" i="1"/>
  <c r="W277" i="1"/>
  <c r="V11" i="1"/>
  <c r="W79" i="1"/>
  <c r="Z79" i="1" s="1"/>
  <c r="W369" i="1"/>
  <c r="V346" i="1"/>
  <c r="Y346" i="1" s="1"/>
  <c r="W167" i="1"/>
  <c r="W66" i="1"/>
  <c r="W43" i="1"/>
  <c r="W315" i="1"/>
  <c r="Z315" i="1" s="1"/>
  <c r="W130" i="1"/>
  <c r="V119" i="1"/>
  <c r="W107" i="1"/>
  <c r="W202" i="1"/>
  <c r="W21" i="1"/>
  <c r="W17" i="1"/>
  <c r="V259" i="1"/>
  <c r="U52" i="1"/>
  <c r="U257" i="1"/>
  <c r="V63" i="1"/>
  <c r="V79" i="1"/>
  <c r="Y79" i="1" s="1"/>
  <c r="V369" i="1"/>
  <c r="W357" i="1"/>
  <c r="Z357" i="1" s="1"/>
  <c r="W334" i="1"/>
  <c r="Z334" i="1" s="1"/>
  <c r="V43" i="1"/>
  <c r="W219" i="1"/>
  <c r="W28" i="1"/>
  <c r="W292" i="1"/>
  <c r="V130" i="1"/>
  <c r="V107" i="1"/>
  <c r="V21" i="1"/>
  <c r="V17" i="1"/>
  <c r="V357" i="1"/>
  <c r="Y357" i="1" s="1"/>
  <c r="W345" i="1"/>
  <c r="Z345" i="1" s="1"/>
  <c r="V334" i="1"/>
  <c r="Y334" i="1" s="1"/>
  <c r="W177" i="1"/>
  <c r="W237" i="1"/>
  <c r="W42" i="1"/>
  <c r="V219" i="1"/>
  <c r="W40" i="1"/>
  <c r="V28" i="1"/>
  <c r="W303" i="1"/>
  <c r="V292" i="1"/>
  <c r="U14" i="1"/>
  <c r="V345" i="1"/>
  <c r="Y345" i="1" s="1"/>
  <c r="V177" i="1"/>
  <c r="W247" i="1"/>
  <c r="V40" i="1"/>
  <c r="W325" i="1"/>
  <c r="Z325" i="1" s="1"/>
  <c r="W106" i="1"/>
  <c r="W85" i="1"/>
  <c r="Z85" i="1" s="1"/>
  <c r="U70" i="1"/>
  <c r="X70" i="1" s="1"/>
  <c r="W165" i="1"/>
  <c r="V247" i="1"/>
  <c r="W27" i="1"/>
  <c r="V325" i="1"/>
  <c r="Y325" i="1" s="1"/>
  <c r="W313" i="1"/>
  <c r="V106" i="1"/>
  <c r="V85" i="1"/>
  <c r="Y85" i="1" s="1"/>
  <c r="W194" i="1"/>
  <c r="W69" i="1"/>
  <c r="Z69" i="1" s="1"/>
  <c r="W176" i="1"/>
  <c r="V223" i="1"/>
  <c r="V27" i="1"/>
  <c r="W133" i="1"/>
  <c r="W68" i="1"/>
  <c r="W254" i="1"/>
  <c r="U254" i="1"/>
  <c r="V71" i="1"/>
  <c r="Y71" i="1" s="1"/>
  <c r="W350" i="1"/>
  <c r="Z350" i="1" s="1"/>
  <c r="W44" i="1"/>
  <c r="W111" i="1"/>
  <c r="W239" i="1"/>
  <c r="W223" i="1"/>
  <c r="W281" i="1"/>
  <c r="W89" i="1"/>
  <c r="Z89" i="1" s="1"/>
  <c r="W362" i="1"/>
  <c r="W169" i="1"/>
  <c r="V68" i="1"/>
  <c r="W305" i="1"/>
  <c r="V4" i="1"/>
  <c r="V362" i="1"/>
  <c r="W251" i="1"/>
  <c r="W293" i="1"/>
  <c r="U135" i="1"/>
  <c r="U353" i="1"/>
  <c r="X353" i="1" s="1"/>
  <c r="W338" i="1"/>
  <c r="Z338" i="1" s="1"/>
  <c r="V251" i="1"/>
  <c r="W67" i="1"/>
  <c r="V59" i="1"/>
  <c r="V35" i="1"/>
  <c r="W329" i="1"/>
  <c r="Z329" i="1" s="1"/>
  <c r="V293" i="1"/>
  <c r="W134" i="1"/>
  <c r="V126" i="1"/>
  <c r="W197" i="1"/>
  <c r="V78" i="1"/>
  <c r="Y78" i="1" s="1"/>
  <c r="W181" i="1"/>
  <c r="V67" i="1"/>
  <c r="W317" i="1"/>
  <c r="Z317" i="1" s="1"/>
  <c r="V134" i="1"/>
  <c r="W180" i="1"/>
  <c r="V172" i="1"/>
  <c r="V47" i="1"/>
  <c r="W151" i="1"/>
  <c r="V32" i="1"/>
  <c r="W316" i="1"/>
  <c r="Z316" i="1" s="1"/>
  <c r="V308" i="1"/>
  <c r="V114" i="1"/>
  <c r="U204" i="1"/>
  <c r="V98" i="1"/>
  <c r="U271" i="1"/>
  <c r="V255" i="1"/>
  <c r="W32" i="1"/>
  <c r="V350" i="1"/>
  <c r="Y350" i="1" s="1"/>
  <c r="V316" i="1"/>
  <c r="Y316" i="1" s="1"/>
  <c r="W138" i="1"/>
  <c r="U98" i="1"/>
  <c r="W270" i="1"/>
  <c r="U92" i="1"/>
  <c r="X92" i="1" s="1"/>
  <c r="W70" i="1"/>
  <c r="Z70" i="1" s="1"/>
  <c r="W341" i="1"/>
  <c r="Z341" i="1" s="1"/>
  <c r="V180" i="1"/>
  <c r="W230" i="1"/>
  <c r="W224" i="1"/>
  <c r="W332" i="1"/>
  <c r="Z332" i="1" s="1"/>
  <c r="W349" i="1"/>
  <c r="Z349" i="1" s="1"/>
  <c r="W56" i="1"/>
  <c r="V224" i="1"/>
  <c r="W31" i="1"/>
  <c r="W123" i="1"/>
  <c r="V270" i="1"/>
  <c r="U187" i="1"/>
  <c r="V187" i="1"/>
  <c r="W187" i="1"/>
  <c r="W83" i="1"/>
  <c r="Z83" i="1" s="1"/>
  <c r="U83" i="1"/>
  <c r="X83" i="1" s="1"/>
  <c r="V83" i="1"/>
  <c r="Y83" i="1" s="1"/>
  <c r="U244" i="1"/>
  <c r="W244" i="1"/>
  <c r="V244" i="1"/>
  <c r="U77" i="1"/>
  <c r="X77" i="1" s="1"/>
  <c r="V77" i="1"/>
  <c r="Y77" i="1" s="1"/>
  <c r="W77" i="1"/>
  <c r="Z77" i="1" s="1"/>
  <c r="U344" i="1"/>
  <c r="X344" i="1" s="1"/>
  <c r="V344" i="1"/>
  <c r="Y344" i="1" s="1"/>
  <c r="W344" i="1"/>
  <c r="Z344" i="1" s="1"/>
  <c r="U245" i="1"/>
  <c r="V245" i="1"/>
  <c r="W245" i="1"/>
  <c r="U50" i="1"/>
  <c r="V50" i="1"/>
  <c r="W50" i="1"/>
  <c r="U145" i="1"/>
  <c r="V145" i="1"/>
  <c r="W145" i="1"/>
  <c r="U38" i="1"/>
  <c r="V38" i="1"/>
  <c r="W38" i="1"/>
  <c r="U323" i="1"/>
  <c r="X323" i="1" s="1"/>
  <c r="V323" i="1"/>
  <c r="Y323" i="1" s="1"/>
  <c r="W323" i="1"/>
  <c r="Z323" i="1" s="1"/>
  <c r="U287" i="1"/>
  <c r="V287" i="1"/>
  <c r="W287" i="1"/>
  <c r="U117" i="1"/>
  <c r="V117" i="1"/>
  <c r="W117" i="1"/>
  <c r="V267" i="1"/>
  <c r="W267" i="1"/>
  <c r="W367" i="1"/>
  <c r="U367" i="1"/>
  <c r="V367" i="1"/>
  <c r="U174" i="1"/>
  <c r="W174" i="1"/>
  <c r="V174" i="1"/>
  <c r="U61" i="1"/>
  <c r="W61" i="1"/>
  <c r="V61" i="1"/>
  <c r="U144" i="1"/>
  <c r="V144" i="1"/>
  <c r="W144" i="1"/>
  <c r="U25" i="1"/>
  <c r="W25" i="1"/>
  <c r="V25" i="1"/>
  <c r="U286" i="1"/>
  <c r="W286" i="1"/>
  <c r="V286" i="1"/>
  <c r="V9" i="1"/>
  <c r="W9" i="1"/>
  <c r="U9" i="1"/>
  <c r="V354" i="1"/>
  <c r="Y354" i="1" s="1"/>
  <c r="U354" i="1"/>
  <c r="X354" i="1" s="1"/>
  <c r="W354" i="1"/>
  <c r="Z354" i="1" s="1"/>
  <c r="U173" i="1"/>
  <c r="V173" i="1"/>
  <c r="W173" i="1"/>
  <c r="U243" i="1"/>
  <c r="W243" i="1"/>
  <c r="V243" i="1"/>
  <c r="U48" i="1"/>
  <c r="W48" i="1"/>
  <c r="V48" i="1"/>
  <c r="U36" i="1"/>
  <c r="W36" i="1"/>
  <c r="V36" i="1"/>
  <c r="U309" i="1"/>
  <c r="W309" i="1"/>
  <c r="V309" i="1"/>
  <c r="U127" i="1"/>
  <c r="W127" i="1"/>
  <c r="V127" i="1"/>
  <c r="U208" i="1"/>
  <c r="W208" i="1"/>
  <c r="V208" i="1"/>
  <c r="U93" i="1"/>
  <c r="X93" i="1" s="1"/>
  <c r="W93" i="1"/>
  <c r="Z93" i="1" s="1"/>
  <c r="V93" i="1"/>
  <c r="Y93" i="1" s="1"/>
  <c r="U190" i="1"/>
  <c r="V190" i="1"/>
  <c r="W190" i="1"/>
  <c r="W76" i="1"/>
  <c r="Z76" i="1" s="1"/>
  <c r="V76" i="1"/>
  <c r="Y76" i="1" s="1"/>
  <c r="U356" i="1"/>
  <c r="X356" i="1" s="1"/>
  <c r="V356" i="1"/>
  <c r="Y356" i="1" s="1"/>
  <c r="W356" i="1"/>
  <c r="Z356" i="1" s="1"/>
  <c r="U163" i="1"/>
  <c r="V163" i="1"/>
  <c r="W163" i="1"/>
  <c r="U233" i="1"/>
  <c r="V233" i="1"/>
  <c r="W233" i="1"/>
  <c r="U157" i="1"/>
  <c r="V157" i="1"/>
  <c r="W157" i="1"/>
  <c r="U218" i="1"/>
  <c r="V218" i="1"/>
  <c r="W218" i="1"/>
  <c r="U311" i="1"/>
  <c r="V311" i="1"/>
  <c r="W311" i="1"/>
  <c r="U141" i="1"/>
  <c r="V141" i="1"/>
  <c r="W141" i="1"/>
  <c r="U105" i="1"/>
  <c r="V105" i="1"/>
  <c r="W105" i="1"/>
  <c r="U192" i="1"/>
  <c r="V192" i="1"/>
  <c r="W192" i="1"/>
  <c r="U355" i="1"/>
  <c r="X355" i="1" s="1"/>
  <c r="W355" i="1"/>
  <c r="Z355" i="1" s="1"/>
  <c r="V355" i="1"/>
  <c r="Y355" i="1" s="1"/>
  <c r="U186" i="1"/>
  <c r="V186" i="1"/>
  <c r="W186" i="1"/>
  <c r="V232" i="1"/>
  <c r="U232" i="1"/>
  <c r="W232" i="1"/>
  <c r="U156" i="1"/>
  <c r="W156" i="1"/>
  <c r="V156" i="1"/>
  <c r="U37" i="1"/>
  <c r="V37" i="1"/>
  <c r="W37" i="1"/>
  <c r="U310" i="1"/>
  <c r="W310" i="1"/>
  <c r="V310" i="1"/>
  <c r="U266" i="1"/>
  <c r="V266" i="1"/>
  <c r="W266" i="1"/>
  <c r="U366" i="1"/>
  <c r="V366" i="1"/>
  <c r="W366" i="1"/>
  <c r="U185" i="1"/>
  <c r="W185" i="1"/>
  <c r="V185" i="1"/>
  <c r="U161" i="1"/>
  <c r="W161" i="1"/>
  <c r="V161" i="1"/>
  <c r="U60" i="1"/>
  <c r="V60" i="1"/>
  <c r="W60" i="1"/>
  <c r="U155" i="1"/>
  <c r="W155" i="1"/>
  <c r="V155" i="1"/>
  <c r="U216" i="1"/>
  <c r="W216" i="1"/>
  <c r="V216" i="1"/>
  <c r="U321" i="1"/>
  <c r="X321" i="1" s="1"/>
  <c r="W321" i="1"/>
  <c r="Z321" i="1" s="1"/>
  <c r="V321" i="1"/>
  <c r="Y321" i="1" s="1"/>
  <c r="U297" i="1"/>
  <c r="W297" i="1"/>
  <c r="V297" i="1"/>
  <c r="U139" i="1"/>
  <c r="W139" i="1"/>
  <c r="V139" i="1"/>
  <c r="U115" i="1"/>
  <c r="W115" i="1"/>
  <c r="V115" i="1"/>
  <c r="U275" i="1"/>
  <c r="W275" i="1"/>
  <c r="V265" i="1"/>
  <c r="W265" i="1"/>
  <c r="U265" i="1"/>
  <c r="V275" i="1"/>
  <c r="U368" i="1"/>
  <c r="V368" i="1"/>
  <c r="U175" i="1"/>
  <c r="V175" i="1"/>
  <c r="W175" i="1"/>
  <c r="U62" i="1"/>
  <c r="V62" i="1"/>
  <c r="W62" i="1"/>
  <c r="U26" i="1"/>
  <c r="V26" i="1"/>
  <c r="W26" i="1"/>
  <c r="U299" i="1"/>
  <c r="V299" i="1"/>
  <c r="W299" i="1"/>
  <c r="U129" i="1"/>
  <c r="V129" i="1"/>
  <c r="W129" i="1"/>
  <c r="W101" i="1"/>
  <c r="V101" i="1"/>
  <c r="Y101" i="1" s="1"/>
  <c r="U101" i="1"/>
  <c r="V16" i="1"/>
  <c r="W16" i="1"/>
  <c r="W95" i="1"/>
  <c r="Z95" i="1" s="1"/>
  <c r="U95" i="1"/>
  <c r="X95" i="1" s="1"/>
  <c r="V95" i="1"/>
  <c r="Y95" i="1" s="1"/>
  <c r="W10" i="1"/>
  <c r="U10" i="1"/>
  <c r="V10" i="1"/>
  <c r="U343" i="1"/>
  <c r="X343" i="1" s="1"/>
  <c r="W343" i="1"/>
  <c r="Z343" i="1" s="1"/>
  <c r="V343" i="1"/>
  <c r="Y343" i="1" s="1"/>
  <c r="U162" i="1"/>
  <c r="V162" i="1"/>
  <c r="W162" i="1"/>
  <c r="U49" i="1"/>
  <c r="V49" i="1"/>
  <c r="W49" i="1"/>
  <c r="U217" i="1"/>
  <c r="W217" i="1"/>
  <c r="V217" i="1"/>
  <c r="V322" i="1"/>
  <c r="Y322" i="1" s="1"/>
  <c r="W322" i="1"/>
  <c r="Z322" i="1" s="1"/>
  <c r="U322" i="1"/>
  <c r="X322" i="1" s="1"/>
  <c r="U298" i="1"/>
  <c r="W298" i="1"/>
  <c r="V298" i="1"/>
  <c r="U140" i="1"/>
  <c r="W140" i="1"/>
  <c r="V140" i="1"/>
  <c r="U128" i="1"/>
  <c r="W128" i="1"/>
  <c r="V128" i="1"/>
  <c r="V116" i="1"/>
  <c r="W116" i="1"/>
  <c r="U116" i="1"/>
  <c r="U209" i="1"/>
  <c r="W209" i="1"/>
  <c r="V209" i="1"/>
  <c r="V100" i="1"/>
  <c r="W100" i="1"/>
  <c r="U100" i="1"/>
  <c r="V276" i="1"/>
  <c r="W276" i="1"/>
  <c r="U276" i="1"/>
  <c r="V94" i="1"/>
  <c r="Y94" i="1" s="1"/>
  <c r="W94" i="1"/>
  <c r="Z94" i="1" s="1"/>
  <c r="U94" i="1"/>
  <c r="X94" i="1" s="1"/>
  <c r="V201" i="1"/>
  <c r="W201" i="1"/>
  <c r="U201" i="1"/>
  <c r="V191" i="1"/>
  <c r="W191" i="1"/>
  <c r="U191" i="1"/>
  <c r="U75" i="1"/>
  <c r="X75" i="1" s="1"/>
  <c r="V75" i="1"/>
  <c r="Y75" i="1" s="1"/>
  <c r="U342" i="1"/>
  <c r="X342" i="1" s="1"/>
  <c r="W342" i="1"/>
  <c r="Z342" i="1" s="1"/>
  <c r="V342" i="1"/>
  <c r="Y342" i="1" s="1"/>
  <c r="U231" i="1"/>
  <c r="W231" i="1"/>
  <c r="V231" i="1"/>
  <c r="U143" i="1"/>
  <c r="W143" i="1"/>
  <c r="V143" i="1"/>
  <c r="U24" i="1"/>
  <c r="V24" i="1"/>
  <c r="W24" i="1"/>
  <c r="U285" i="1"/>
  <c r="V285" i="1"/>
  <c r="W285" i="1"/>
  <c r="W99" i="1"/>
  <c r="Z99" i="1" s="1"/>
  <c r="U99" i="1"/>
  <c r="V99" i="1"/>
  <c r="U8" i="1"/>
  <c r="V8" i="1"/>
  <c r="W8" i="1"/>
  <c r="W75" i="1"/>
  <c r="Z75" i="1" s="1"/>
  <c r="U267" i="1"/>
  <c r="V274" i="1"/>
  <c r="W274" i="1"/>
  <c r="U274" i="1"/>
  <c r="V189" i="1"/>
  <c r="W189" i="1"/>
  <c r="U189" i="1"/>
  <c r="U73" i="1"/>
  <c r="X73" i="1" s="1"/>
  <c r="V73" i="1"/>
  <c r="Y73" i="1" s="1"/>
  <c r="U364" i="1"/>
  <c r="V364" i="1"/>
  <c r="U352" i="1"/>
  <c r="X352" i="1" s="1"/>
  <c r="V352" i="1"/>
  <c r="Y352" i="1" s="1"/>
  <c r="U340" i="1"/>
  <c r="X340" i="1" s="1"/>
  <c r="V340" i="1"/>
  <c r="Y340" i="1" s="1"/>
  <c r="U183" i="1"/>
  <c r="V183" i="1"/>
  <c r="W183" i="1"/>
  <c r="U171" i="1"/>
  <c r="V171" i="1"/>
  <c r="U253" i="1"/>
  <c r="V253" i="1"/>
  <c r="W253" i="1"/>
  <c r="Z253" i="1" s="1"/>
  <c r="U241" i="1"/>
  <c r="V241" i="1"/>
  <c r="U229" i="1"/>
  <c r="V229" i="1"/>
  <c r="W229" i="1"/>
  <c r="U58" i="1"/>
  <c r="V58" i="1"/>
  <c r="U46" i="1"/>
  <c r="V46" i="1"/>
  <c r="W46" i="1"/>
  <c r="U153" i="1"/>
  <c r="V153" i="1"/>
  <c r="U226" i="1"/>
  <c r="V226" i="1"/>
  <c r="W226" i="1"/>
  <c r="U214" i="1"/>
  <c r="V214" i="1"/>
  <c r="U34" i="1"/>
  <c r="V34" i="1"/>
  <c r="W34" i="1"/>
  <c r="U331" i="1"/>
  <c r="X331" i="1" s="1"/>
  <c r="V331" i="1"/>
  <c r="Y331" i="1" s="1"/>
  <c r="U319" i="1"/>
  <c r="X319" i="1" s="1"/>
  <c r="V319" i="1"/>
  <c r="Y319" i="1" s="1"/>
  <c r="W319" i="1"/>
  <c r="Z319" i="1" s="1"/>
  <c r="U307" i="1"/>
  <c r="V307" i="1"/>
  <c r="U295" i="1"/>
  <c r="V295" i="1"/>
  <c r="W295" i="1"/>
  <c r="U283" i="1"/>
  <c r="V283" i="1"/>
  <c r="U137" i="1"/>
  <c r="V137" i="1"/>
  <c r="W137" i="1"/>
  <c r="U125" i="1"/>
  <c r="V125" i="1"/>
  <c r="U113" i="1"/>
  <c r="V113" i="1"/>
  <c r="W113" i="1"/>
  <c r="U206" i="1"/>
  <c r="V206" i="1"/>
  <c r="U91" i="1"/>
  <c r="X91" i="1" s="1"/>
  <c r="V91" i="1"/>
  <c r="Y91" i="1" s="1"/>
  <c r="U6" i="1"/>
  <c r="V6" i="1"/>
  <c r="W264" i="1"/>
  <c r="V252" i="1"/>
  <c r="Y252" i="1" s="1"/>
  <c r="W252" i="1"/>
  <c r="V228" i="1"/>
  <c r="W228" i="1"/>
  <c r="V45" i="1"/>
  <c r="W45" i="1"/>
  <c r="V225" i="1"/>
  <c r="W225" i="1"/>
  <c r="V33" i="1"/>
  <c r="W33" i="1"/>
  <c r="V318" i="1"/>
  <c r="Y318" i="1" s="1"/>
  <c r="W318" i="1"/>
  <c r="Z318" i="1" s="1"/>
  <c r="V294" i="1"/>
  <c r="W294" i="1"/>
  <c r="V136" i="1"/>
  <c r="W136" i="1"/>
  <c r="V112" i="1"/>
  <c r="W112" i="1"/>
  <c r="V23" i="1"/>
  <c r="W23" i="1"/>
  <c r="U23" i="1"/>
  <c r="V90" i="1"/>
  <c r="Y90" i="1" s="1"/>
  <c r="W90" i="1"/>
  <c r="Z90" i="1" s="1"/>
  <c r="V15" i="1"/>
  <c r="W15" i="1"/>
  <c r="V5" i="1"/>
  <c r="W5" i="1"/>
  <c r="W74" i="1"/>
  <c r="Z74" i="1" s="1"/>
  <c r="V264" i="1"/>
  <c r="W261" i="1"/>
  <c r="U261" i="1"/>
  <c r="V261" i="1"/>
  <c r="V338" i="1"/>
  <c r="Y338" i="1" s="1"/>
  <c r="V169" i="1"/>
  <c r="V151" i="1"/>
  <c r="V212" i="1"/>
  <c r="V329" i="1"/>
  <c r="Y329" i="1" s="1"/>
  <c r="V281" i="1"/>
  <c r="V123" i="1"/>
  <c r="W7" i="1"/>
  <c r="W263" i="1"/>
  <c r="V55" i="1"/>
  <c r="W55" i="1"/>
  <c r="V150" i="1"/>
  <c r="W150" i="1"/>
  <c r="V211" i="1"/>
  <c r="W211" i="1"/>
  <c r="V328" i="1"/>
  <c r="Y328" i="1" s="1"/>
  <c r="W328" i="1"/>
  <c r="Z328" i="1" s="1"/>
  <c r="V304" i="1"/>
  <c r="W304" i="1"/>
  <c r="V280" i="1"/>
  <c r="W280" i="1"/>
  <c r="V122" i="1"/>
  <c r="W122" i="1"/>
  <c r="U203" i="1"/>
  <c r="V203" i="1"/>
  <c r="V3" i="1"/>
  <c r="U3" i="1"/>
  <c r="U55" i="1"/>
  <c r="U150" i="1"/>
  <c r="U211" i="1"/>
  <c r="U328" i="1"/>
  <c r="X328" i="1" s="1"/>
  <c r="U304" i="1"/>
  <c r="U280" i="1"/>
  <c r="U122" i="1"/>
  <c r="V263" i="1"/>
  <c r="W73" i="1"/>
  <c r="Z73" i="1" s="1"/>
  <c r="V365" i="1"/>
  <c r="W92" i="1"/>
  <c r="Z92" i="1" s="1"/>
  <c r="U7" i="1"/>
  <c r="V72" i="1"/>
  <c r="Y72" i="1" s="1"/>
  <c r="W72" i="1"/>
  <c r="Z72" i="1" s="1"/>
  <c r="V351" i="1"/>
  <c r="Y351" i="1" s="1"/>
  <c r="W351" i="1"/>
  <c r="Z351" i="1" s="1"/>
  <c r="V182" i="1"/>
  <c r="W182" i="1"/>
  <c r="V205" i="1"/>
  <c r="W205" i="1"/>
  <c r="V272" i="1"/>
  <c r="W272" i="1"/>
  <c r="V199" i="1"/>
  <c r="W199" i="1"/>
  <c r="U199" i="1"/>
  <c r="U262" i="1"/>
  <c r="V262" i="1"/>
  <c r="U22" i="1"/>
  <c r="V22" i="1"/>
  <c r="W22" i="1"/>
  <c r="U198" i="1"/>
  <c r="V198" i="1"/>
  <c r="W198" i="1"/>
  <c r="V74" i="1"/>
  <c r="Y74" i="1" s="1"/>
  <c r="V239" i="1"/>
  <c r="V56" i="1"/>
  <c r="V305" i="1"/>
  <c r="V82" i="1"/>
  <c r="Y82" i="1" s="1"/>
  <c r="W82" i="1"/>
  <c r="Z82" i="1" s="1"/>
  <c r="V361" i="1"/>
  <c r="W361" i="1"/>
  <c r="V337" i="1"/>
  <c r="Y337" i="1" s="1"/>
  <c r="W337" i="1"/>
  <c r="Z337" i="1" s="1"/>
  <c r="V168" i="1"/>
  <c r="W168" i="1"/>
  <c r="V238" i="1"/>
  <c r="W238" i="1"/>
  <c r="U88" i="1"/>
  <c r="X88" i="1" s="1"/>
  <c r="V88" i="1"/>
  <c r="Y88" i="1" s="1"/>
  <c r="U260" i="1"/>
  <c r="V260" i="1"/>
  <c r="W260" i="1"/>
  <c r="W365" i="1"/>
  <c r="W78" i="1"/>
  <c r="Z78" i="1" s="1"/>
  <c r="U72" i="1"/>
  <c r="X72" i="1" s="1"/>
  <c r="V188" i="1"/>
  <c r="W6" i="1"/>
  <c r="W262" i="1"/>
  <c r="V333" i="1"/>
  <c r="Y333" i="1" s="1"/>
  <c r="U333" i="1"/>
  <c r="X333" i="1" s="1"/>
  <c r="U164" i="1"/>
  <c r="V164" i="1"/>
  <c r="V234" i="1"/>
  <c r="U234" i="1"/>
  <c r="U51" i="1"/>
  <c r="V51" i="1"/>
  <c r="V146" i="1"/>
  <c r="U146" i="1"/>
  <c r="V39" i="1"/>
  <c r="U39" i="1"/>
  <c r="U324" i="1"/>
  <c r="X324" i="1" s="1"/>
  <c r="V324" i="1"/>
  <c r="Y324" i="1" s="1"/>
  <c r="V300" i="1"/>
  <c r="U300" i="1"/>
  <c r="U142" i="1"/>
  <c r="V142" i="1"/>
  <c r="V118" i="1"/>
  <c r="U118" i="1"/>
  <c r="V102" i="1"/>
  <c r="U102" i="1"/>
  <c r="V84" i="1"/>
  <c r="Y84" i="1" s="1"/>
  <c r="U84" i="1"/>
  <c r="X84" i="1" s="1"/>
  <c r="V81" i="1"/>
  <c r="Y81" i="1" s="1"/>
  <c r="V69" i="1"/>
  <c r="Y69" i="1" s="1"/>
  <c r="V360" i="1"/>
  <c r="V348" i="1"/>
  <c r="Y348" i="1" s="1"/>
  <c r="V336" i="1"/>
  <c r="Y336" i="1" s="1"/>
  <c r="V179" i="1"/>
  <c r="V167" i="1"/>
  <c r="V249" i="1"/>
  <c r="V237" i="1"/>
  <c r="V66" i="1"/>
  <c r="V54" i="1"/>
  <c r="V42" i="1"/>
  <c r="V149" i="1"/>
  <c r="V222" i="1"/>
  <c r="V210" i="1"/>
  <c r="V30" i="1"/>
  <c r="V327" i="1"/>
  <c r="Y327" i="1" s="1"/>
  <c r="V315" i="1"/>
  <c r="Y315" i="1" s="1"/>
  <c r="V303" i="1"/>
  <c r="V291" i="1"/>
  <c r="V279" i="1"/>
  <c r="V133" i="1"/>
  <c r="V121" i="1"/>
  <c r="V109" i="1"/>
  <c r="Z256" i="1" l="1"/>
  <c r="Y249" i="1"/>
  <c r="Y268" i="1"/>
  <c r="Z360" i="1"/>
  <c r="X254" i="1"/>
  <c r="Y300" i="1"/>
  <c r="Z264" i="1"/>
  <c r="Y253" i="1"/>
  <c r="X265" i="1"/>
  <c r="Z297" i="1"/>
  <c r="Y266" i="1"/>
  <c r="Z104" i="1"/>
  <c r="Y210" i="1"/>
  <c r="Y360" i="1"/>
  <c r="Y305" i="1"/>
  <c r="Y212" i="1"/>
  <c r="Y222" i="1"/>
  <c r="Z211" i="1"/>
  <c r="X253" i="1"/>
  <c r="Y367" i="1"/>
  <c r="Z362" i="1"/>
  <c r="Y298" i="1"/>
  <c r="Z265" i="1"/>
  <c r="X297" i="1"/>
  <c r="X266" i="1"/>
  <c r="Y309" i="1"/>
  <c r="X103" i="1"/>
  <c r="Y246" i="1"/>
  <c r="X264" i="1"/>
  <c r="Y259" i="1"/>
  <c r="Y102" i="1"/>
  <c r="Y291" i="1"/>
  <c r="X280" i="1"/>
  <c r="Z280" i="1"/>
  <c r="Z263" i="1"/>
  <c r="Y264" i="1"/>
  <c r="X295" i="1"/>
  <c r="X285" i="1"/>
  <c r="Z313" i="1"/>
  <c r="X300" i="1"/>
  <c r="X260" i="1"/>
  <c r="X262" i="1"/>
  <c r="Y294" i="1"/>
  <c r="X299" i="1"/>
  <c r="Y297" i="1"/>
  <c r="Z266" i="1"/>
  <c r="Z274" i="1"/>
  <c r="X276" i="1"/>
  <c r="Z370" i="1"/>
  <c r="X370" i="1"/>
  <c r="X98" i="1"/>
  <c r="X104" i="1"/>
  <c r="Y97" i="1"/>
  <c r="Z98" i="1"/>
  <c r="X100" i="1"/>
  <c r="Z103" i="1"/>
  <c r="Y371" i="1"/>
  <c r="Y364" i="1"/>
  <c r="Z100" i="1"/>
  <c r="Z35" i="1"/>
  <c r="Y103" i="1"/>
  <c r="X364" i="1"/>
  <c r="Y100" i="1"/>
  <c r="Z102" i="1"/>
  <c r="X277" i="1"/>
  <c r="X371" i="1"/>
  <c r="Y99" i="1"/>
  <c r="X369" i="1"/>
  <c r="Y365" i="1"/>
  <c r="Z150" i="1"/>
  <c r="X171" i="1"/>
  <c r="X99" i="1"/>
  <c r="X162" i="1"/>
  <c r="X101" i="1"/>
  <c r="Z161" i="1"/>
  <c r="Y186" i="1"/>
  <c r="X173" i="1"/>
  <c r="Z367" i="1"/>
  <c r="Y98" i="1"/>
  <c r="Z268" i="1"/>
  <c r="X102" i="1"/>
  <c r="Z101" i="1"/>
  <c r="X97" i="1"/>
  <c r="Z238" i="1"/>
  <c r="Y239" i="1"/>
  <c r="Y211" i="1"/>
  <c r="Y231" i="1"/>
  <c r="Z298" i="1"/>
  <c r="Y265" i="1"/>
  <c r="Y310" i="1"/>
  <c r="X367" i="1"/>
  <c r="Y369" i="1"/>
  <c r="Y256" i="1"/>
  <c r="Z306" i="1"/>
  <c r="Z220" i="1"/>
  <c r="Y240" i="1"/>
  <c r="Z258" i="1"/>
  <c r="Y363" i="1"/>
  <c r="X222" i="1"/>
  <c r="Y255" i="1"/>
  <c r="Y245" i="1"/>
  <c r="Z236" i="1"/>
  <c r="Y238" i="1"/>
  <c r="Z272" i="1"/>
  <c r="Y283" i="1"/>
  <c r="X46" i="1"/>
  <c r="Z275" i="1"/>
  <c r="Z310" i="1"/>
  <c r="Z230" i="1"/>
  <c r="Z283" i="1"/>
  <c r="Y261" i="1"/>
  <c r="Z267" i="1"/>
  <c r="Z255" i="1"/>
  <c r="X363" i="1"/>
  <c r="Y258" i="1"/>
  <c r="Z371" i="1"/>
  <c r="X362" i="1"/>
  <c r="Z262" i="1"/>
  <c r="Y203" i="1"/>
  <c r="X189" i="1"/>
  <c r="Y233" i="1"/>
  <c r="Z67" i="1"/>
  <c r="Y133" i="1"/>
  <c r="X261" i="1"/>
  <c r="Y225" i="1"/>
  <c r="Y216" i="1"/>
  <c r="Z311" i="1"/>
  <c r="Y267" i="1"/>
  <c r="X257" i="1"/>
  <c r="Y257" i="1"/>
  <c r="X258" i="1"/>
  <c r="X263" i="1"/>
  <c r="X361" i="1"/>
  <c r="Y232" i="1"/>
  <c r="X39" i="1"/>
  <c r="Y33" i="1"/>
  <c r="Z34" i="1"/>
  <c r="Z231" i="1"/>
  <c r="X298" i="1"/>
  <c r="Z62" i="1"/>
  <c r="X309" i="1"/>
  <c r="Z38" i="1"/>
  <c r="Z68" i="1"/>
  <c r="X255" i="1"/>
  <c r="Y66" i="1"/>
  <c r="Y263" i="1"/>
  <c r="Z295" i="1"/>
  <c r="Z285" i="1"/>
  <c r="Z261" i="1"/>
  <c r="Y295" i="1"/>
  <c r="Y214" i="1"/>
  <c r="Z229" i="1"/>
  <c r="Y285" i="1"/>
  <c r="Z216" i="1"/>
  <c r="Y370" i="1"/>
  <c r="X223" i="1"/>
  <c r="X221" i="1"/>
  <c r="Z364" i="1"/>
  <c r="X365" i="1"/>
  <c r="X360" i="1"/>
  <c r="X214" i="1"/>
  <c r="Y217" i="1"/>
  <c r="X216" i="1"/>
  <c r="X311" i="1"/>
  <c r="Z246" i="1"/>
  <c r="Y303" i="1"/>
  <c r="Z365" i="1"/>
  <c r="Z361" i="1"/>
  <c r="Z366" i="1"/>
  <c r="Z259" i="1"/>
  <c r="Z296" i="1"/>
  <c r="X302" i="1"/>
  <c r="Z363" i="1"/>
  <c r="Z97" i="1"/>
  <c r="X234" i="1"/>
  <c r="Z260" i="1"/>
  <c r="Y361" i="1"/>
  <c r="Z304" i="1"/>
  <c r="Y228" i="1"/>
  <c r="X307" i="1"/>
  <c r="Y226" i="1"/>
  <c r="Y241" i="1"/>
  <c r="X267" i="1"/>
  <c r="X217" i="1"/>
  <c r="Z299" i="1"/>
  <c r="Y368" i="1"/>
  <c r="Y366" i="1"/>
  <c r="Z369" i="1"/>
  <c r="X259" i="1"/>
  <c r="Y229" i="1"/>
  <c r="Y234" i="1"/>
  <c r="Y260" i="1"/>
  <c r="Y262" i="1"/>
  <c r="X211" i="1"/>
  <c r="Y304" i="1"/>
  <c r="Y281" i="1"/>
  <c r="Z294" i="1"/>
  <c r="Z252" i="1"/>
  <c r="X226" i="1"/>
  <c r="X241" i="1"/>
  <c r="Y299" i="1"/>
  <c r="X368" i="1"/>
  <c r="X366" i="1"/>
  <c r="X218" i="1"/>
  <c r="Y243" i="1"/>
  <c r="Y286" i="1"/>
  <c r="Y287" i="1"/>
  <c r="Z244" i="1"/>
  <c r="Y224" i="1"/>
  <c r="Y362" i="1"/>
  <c r="Z368" i="1"/>
  <c r="X308" i="1"/>
  <c r="Z300" i="1"/>
  <c r="X23" i="1"/>
  <c r="X16" i="1"/>
  <c r="Y14" i="1"/>
  <c r="Z14" i="1"/>
  <c r="Y2" i="1"/>
  <c r="Z4" i="1"/>
  <c r="X19" i="1"/>
  <c r="Y13" i="1"/>
  <c r="Y12" i="1"/>
  <c r="X11" i="1"/>
  <c r="Z18" i="1"/>
  <c r="X2" i="1"/>
  <c r="X17" i="1"/>
  <c r="Z13" i="1"/>
  <c r="X21" i="1"/>
  <c r="X15" i="1"/>
  <c r="X4" i="1"/>
  <c r="Z20" i="1"/>
  <c r="X20" i="1"/>
  <c r="X5" i="1"/>
  <c r="Z12" i="1"/>
  <c r="Z19" i="1"/>
  <c r="X13" i="1"/>
  <c r="Y7" i="1"/>
  <c r="Z3" i="1"/>
  <c r="Y19" i="1"/>
  <c r="Y201" i="1"/>
  <c r="X196" i="1"/>
  <c r="Z193" i="1"/>
  <c r="X209" i="1"/>
  <c r="Z206" i="1"/>
  <c r="X205" i="1"/>
  <c r="Y207" i="1"/>
  <c r="Z203" i="1"/>
  <c r="X202" i="1"/>
  <c r="X207" i="1"/>
  <c r="Y204" i="1"/>
  <c r="Z207" i="1"/>
  <c r="Y141" i="1"/>
  <c r="X131" i="1"/>
  <c r="Z125" i="1"/>
  <c r="X119" i="1"/>
  <c r="Z142" i="1"/>
  <c r="X124" i="1"/>
  <c r="Y138" i="1"/>
  <c r="Y108" i="1"/>
  <c r="X134" i="1"/>
  <c r="X106" i="1"/>
  <c r="X132" i="1"/>
  <c r="X114" i="1"/>
  <c r="X108" i="1"/>
  <c r="X110" i="1"/>
  <c r="Z110" i="1"/>
  <c r="Y135" i="1"/>
  <c r="Z124" i="1"/>
  <c r="Y111" i="1"/>
  <c r="Y120" i="1"/>
  <c r="Z108" i="1"/>
  <c r="X136" i="1"/>
  <c r="Z121" i="1"/>
  <c r="Z187" i="1"/>
  <c r="Z160" i="1"/>
  <c r="Z171" i="1"/>
  <c r="X167" i="1"/>
  <c r="Z153" i="1"/>
  <c r="X158" i="1"/>
  <c r="X168" i="1"/>
  <c r="Y160" i="1"/>
  <c r="X154" i="1"/>
  <c r="X190" i="1"/>
  <c r="X165" i="1"/>
  <c r="X25" i="1"/>
  <c r="Y134" i="1"/>
  <c r="Z130" i="1"/>
  <c r="Z11" i="1"/>
  <c r="X12" i="1"/>
  <c r="X32" i="1"/>
  <c r="Y64" i="1"/>
  <c r="Y20" i="1"/>
  <c r="Y279" i="1"/>
  <c r="Y237" i="1"/>
  <c r="Y39" i="1"/>
  <c r="Z6" i="1"/>
  <c r="Z168" i="1"/>
  <c r="Z198" i="1"/>
  <c r="Y272" i="1"/>
  <c r="X203" i="1"/>
  <c r="Y150" i="1"/>
  <c r="Z23" i="1"/>
  <c r="Z225" i="1"/>
  <c r="X283" i="1"/>
  <c r="Y34" i="1"/>
  <c r="Y58" i="1"/>
  <c r="Z183" i="1"/>
  <c r="Z189" i="1"/>
  <c r="X231" i="1"/>
  <c r="X116" i="1"/>
  <c r="Y62" i="1"/>
  <c r="X275" i="1"/>
  <c r="X161" i="1"/>
  <c r="X310" i="1"/>
  <c r="X186" i="1"/>
  <c r="X141" i="1"/>
  <c r="X233" i="1"/>
  <c r="Y36" i="1"/>
  <c r="Z144" i="1"/>
  <c r="Y38" i="1"/>
  <c r="Y187" i="1"/>
  <c r="Y180" i="1"/>
  <c r="X271" i="1"/>
  <c r="Y251" i="1"/>
  <c r="Z133" i="1"/>
  <c r="Y247" i="1"/>
  <c r="Y292" i="1"/>
  <c r="Y17" i="1"/>
  <c r="Y63" i="1"/>
  <c r="X289" i="1"/>
  <c r="Z147" i="1"/>
  <c r="X301" i="1"/>
  <c r="X43" i="1"/>
  <c r="X212" i="1"/>
  <c r="X170" i="1"/>
  <c r="Z314" i="1"/>
  <c r="Y269" i="1"/>
  <c r="Z212" i="1"/>
  <c r="Z109" i="1"/>
  <c r="Y110" i="1"/>
  <c r="X242" i="1"/>
  <c r="Y29" i="1"/>
  <c r="X63" i="1"/>
  <c r="Z184" i="1"/>
  <c r="X312" i="1"/>
  <c r="X112" i="1"/>
  <c r="Y289" i="1"/>
  <c r="Y235" i="1"/>
  <c r="Z257" i="1"/>
  <c r="Z200" i="1"/>
  <c r="X120" i="1"/>
  <c r="X66" i="1"/>
  <c r="X268" i="1"/>
  <c r="Z205" i="1"/>
  <c r="X58" i="1"/>
  <c r="Z116" i="1"/>
  <c r="Y115" i="1"/>
  <c r="Y185" i="1"/>
  <c r="Z37" i="1"/>
  <c r="Z163" i="1"/>
  <c r="Z36" i="1"/>
  <c r="Y144" i="1"/>
  <c r="X38" i="1"/>
  <c r="X187" i="1"/>
  <c r="Y67" i="1"/>
  <c r="Y27" i="1"/>
  <c r="Z165" i="1"/>
  <c r="Z303" i="1"/>
  <c r="Y21" i="1"/>
  <c r="Z43" i="1"/>
  <c r="Y220" i="1"/>
  <c r="Y250" i="1"/>
  <c r="Y312" i="1"/>
  <c r="X67" i="1"/>
  <c r="Y271" i="1"/>
  <c r="X224" i="1"/>
  <c r="Z159" i="1"/>
  <c r="Z179" i="1"/>
  <c r="Z57" i="1"/>
  <c r="X35" i="1"/>
  <c r="Y282" i="1"/>
  <c r="Z126" i="1"/>
  <c r="Z166" i="1"/>
  <c r="Z63" i="1"/>
  <c r="Z234" i="1"/>
  <c r="X296" i="1"/>
  <c r="X27" i="1"/>
  <c r="Y284" i="1"/>
  <c r="Y301" i="1"/>
  <c r="X247" i="1"/>
  <c r="Z114" i="1"/>
  <c r="Z213" i="1"/>
  <c r="Z27" i="1"/>
  <c r="X146" i="1"/>
  <c r="Z55" i="1"/>
  <c r="Y206" i="1"/>
  <c r="X34" i="1"/>
  <c r="Y183" i="1"/>
  <c r="Y189" i="1"/>
  <c r="X62" i="1"/>
  <c r="Y167" i="1"/>
  <c r="Y146" i="1"/>
  <c r="X198" i="1"/>
  <c r="Y205" i="1"/>
  <c r="X122" i="1"/>
  <c r="Y122" i="1"/>
  <c r="Y55" i="1"/>
  <c r="Z112" i="1"/>
  <c r="Z45" i="1"/>
  <c r="X206" i="1"/>
  <c r="X183" i="1"/>
  <c r="X274" i="1"/>
  <c r="Y116" i="1"/>
  <c r="Z129" i="1"/>
  <c r="Z175" i="1"/>
  <c r="Z115" i="1"/>
  <c r="Z185" i="1"/>
  <c r="Y37" i="1"/>
  <c r="Y311" i="1"/>
  <c r="Y163" i="1"/>
  <c r="X36" i="1"/>
  <c r="X144" i="1"/>
  <c r="Z117" i="1"/>
  <c r="Z145" i="1"/>
  <c r="X204" i="1"/>
  <c r="Z181" i="1"/>
  <c r="Z281" i="1"/>
  <c r="Y223" i="1"/>
  <c r="Y28" i="1"/>
  <c r="Y107" i="1"/>
  <c r="X52" i="1"/>
  <c r="Z66" i="1"/>
  <c r="Y147" i="1"/>
  <c r="Y159" i="1"/>
  <c r="X238" i="1"/>
  <c r="X151" i="1"/>
  <c r="Y197" i="1"/>
  <c r="Z41" i="1"/>
  <c r="X166" i="1"/>
  <c r="Y215" i="1"/>
  <c r="Z282" i="1"/>
  <c r="X194" i="1"/>
  <c r="X303" i="1"/>
  <c r="Z204" i="1"/>
  <c r="X252" i="1"/>
  <c r="Z39" i="1"/>
  <c r="Z307" i="1"/>
  <c r="X53" i="1"/>
  <c r="Y313" i="1"/>
  <c r="Y165" i="1"/>
  <c r="Z135" i="1"/>
  <c r="Y194" i="1"/>
  <c r="Z221" i="1"/>
  <c r="Z312" i="1"/>
  <c r="X14" i="1"/>
  <c r="Y168" i="1"/>
  <c r="Z122" i="1"/>
  <c r="Y179" i="1"/>
  <c r="Y51" i="1"/>
  <c r="Y45" i="1"/>
  <c r="Y128" i="1"/>
  <c r="Y10" i="1"/>
  <c r="X115" i="1"/>
  <c r="X185" i="1"/>
  <c r="X163" i="1"/>
  <c r="Y48" i="1"/>
  <c r="X9" i="1"/>
  <c r="Y117" i="1"/>
  <c r="Y145" i="1"/>
  <c r="Y270" i="1"/>
  <c r="Y114" i="1"/>
  <c r="X135" i="1"/>
  <c r="Z223" i="1"/>
  <c r="Z176" i="1"/>
  <c r="Z40" i="1"/>
  <c r="Y130" i="1"/>
  <c r="Z167" i="1"/>
  <c r="X235" i="1"/>
  <c r="Y57" i="1"/>
  <c r="X270" i="1"/>
  <c r="X180" i="1"/>
  <c r="Y44" i="1"/>
  <c r="X272" i="1"/>
  <c r="Z222" i="1"/>
  <c r="Z227" i="1"/>
  <c r="X227" i="1"/>
  <c r="Y302" i="1"/>
  <c r="X42" i="1"/>
  <c r="Z248" i="1"/>
  <c r="X111" i="1"/>
  <c r="X54" i="1"/>
  <c r="X219" i="1"/>
  <c r="Z30" i="1"/>
  <c r="Y41" i="1"/>
  <c r="X177" i="1"/>
  <c r="X290" i="1"/>
  <c r="Y290" i="1"/>
  <c r="Z269" i="1"/>
  <c r="X313" i="1"/>
  <c r="Y178" i="1"/>
  <c r="X33" i="1"/>
  <c r="Z152" i="1"/>
  <c r="Z154" i="1"/>
  <c r="Y198" i="1"/>
  <c r="Y23" i="1"/>
  <c r="X118" i="1"/>
  <c r="Z22" i="1"/>
  <c r="Z182" i="1"/>
  <c r="Y112" i="1"/>
  <c r="Z113" i="1"/>
  <c r="Y129" i="1"/>
  <c r="Y175" i="1"/>
  <c r="X37" i="1"/>
  <c r="Y208" i="1"/>
  <c r="Y61" i="1"/>
  <c r="Y118" i="1"/>
  <c r="X51" i="1"/>
  <c r="Y22" i="1"/>
  <c r="Y182" i="1"/>
  <c r="X304" i="1"/>
  <c r="Y280" i="1"/>
  <c r="Z7" i="1"/>
  <c r="Z136" i="1"/>
  <c r="Z228" i="1"/>
  <c r="Y113" i="1"/>
  <c r="Y307" i="1"/>
  <c r="Z226" i="1"/>
  <c r="X229" i="1"/>
  <c r="Y274" i="1"/>
  <c r="Z24" i="1"/>
  <c r="Z276" i="1"/>
  <c r="Z128" i="1"/>
  <c r="Z217" i="1"/>
  <c r="X10" i="1"/>
  <c r="X129" i="1"/>
  <c r="X175" i="1"/>
  <c r="Y139" i="1"/>
  <c r="Y155" i="1"/>
  <c r="Y156" i="1"/>
  <c r="Z192" i="1"/>
  <c r="Z218" i="1"/>
  <c r="Z208" i="1"/>
  <c r="Z48" i="1"/>
  <c r="Z9" i="1"/>
  <c r="Z61" i="1"/>
  <c r="X117" i="1"/>
  <c r="X145" i="1"/>
  <c r="Z123" i="1"/>
  <c r="Y308" i="1"/>
  <c r="Z197" i="1"/>
  <c r="Z293" i="1"/>
  <c r="Z239" i="1"/>
  <c r="Y219" i="1"/>
  <c r="Z292" i="1"/>
  <c r="Z289" i="1"/>
  <c r="Z240" i="1"/>
  <c r="X123" i="1"/>
  <c r="X56" i="1"/>
  <c r="Y124" i="1"/>
  <c r="Y154" i="1"/>
  <c r="Z279" i="1"/>
  <c r="X47" i="1"/>
  <c r="X240" i="1"/>
  <c r="X29" i="1"/>
  <c r="Y273" i="1"/>
  <c r="X179" i="1"/>
  <c r="X284" i="1"/>
  <c r="Z146" i="1"/>
  <c r="Z214" i="1"/>
  <c r="X28" i="1"/>
  <c r="Z308" i="1"/>
  <c r="Y52" i="1"/>
  <c r="X256" i="1"/>
  <c r="Z47" i="1"/>
  <c r="X184" i="1"/>
  <c r="Y188" i="1"/>
  <c r="Y30" i="1"/>
  <c r="Y142" i="1"/>
  <c r="X22" i="1"/>
  <c r="Y123" i="1"/>
  <c r="Z5" i="1"/>
  <c r="Y136" i="1"/>
  <c r="X113" i="1"/>
  <c r="Y24" i="1"/>
  <c r="Y276" i="1"/>
  <c r="X128" i="1"/>
  <c r="Z10" i="1"/>
  <c r="Z139" i="1"/>
  <c r="Z155" i="1"/>
  <c r="Z156" i="1"/>
  <c r="Y192" i="1"/>
  <c r="Y218" i="1"/>
  <c r="X208" i="1"/>
  <c r="X48" i="1"/>
  <c r="Y9" i="1"/>
  <c r="X61" i="1"/>
  <c r="Z287" i="1"/>
  <c r="Z50" i="1"/>
  <c r="Y244" i="1"/>
  <c r="Z31" i="1"/>
  <c r="Z270" i="1"/>
  <c r="Y126" i="1"/>
  <c r="Z251" i="1"/>
  <c r="Z111" i="1"/>
  <c r="Z194" i="1"/>
  <c r="Z106" i="1"/>
  <c r="Z42" i="1"/>
  <c r="Z28" i="1"/>
  <c r="Z249" i="1"/>
  <c r="X193" i="1"/>
  <c r="Y221" i="1"/>
  <c r="X68" i="1"/>
  <c r="X282" i="1"/>
  <c r="Z53" i="1"/>
  <c r="Z301" i="1"/>
  <c r="Y230" i="1"/>
  <c r="X59" i="1"/>
  <c r="X213" i="1"/>
  <c r="Y278" i="1"/>
  <c r="X306" i="1"/>
  <c r="X197" i="1"/>
  <c r="Z51" i="1"/>
  <c r="X44" i="1"/>
  <c r="X40" i="1"/>
  <c r="Z215" i="1"/>
  <c r="X121" i="1"/>
  <c r="Y176" i="1"/>
  <c r="X248" i="1"/>
  <c r="X278" i="1"/>
  <c r="X195" i="1"/>
  <c r="Y5" i="1"/>
  <c r="Y125" i="1"/>
  <c r="X24" i="1"/>
  <c r="X191" i="1"/>
  <c r="Y140" i="1"/>
  <c r="Z49" i="1"/>
  <c r="X139" i="1"/>
  <c r="X155" i="1"/>
  <c r="X156" i="1"/>
  <c r="X192" i="1"/>
  <c r="Y127" i="1"/>
  <c r="Y174" i="1"/>
  <c r="Y50" i="1"/>
  <c r="Y32" i="1"/>
  <c r="Z134" i="1"/>
  <c r="Z44" i="1"/>
  <c r="Z237" i="1"/>
  <c r="Z219" i="1"/>
  <c r="Z17" i="1"/>
  <c r="Y196" i="1"/>
  <c r="Z131" i="1"/>
  <c r="X281" i="1"/>
  <c r="X239" i="1"/>
  <c r="X294" i="1"/>
  <c r="X269" i="1"/>
  <c r="Y236" i="1"/>
  <c r="Z273" i="1"/>
  <c r="Z242" i="1"/>
  <c r="Z188" i="1"/>
  <c r="Y227" i="1"/>
  <c r="X236" i="1"/>
  <c r="Z290" i="1"/>
  <c r="X246" i="1"/>
  <c r="X65" i="1"/>
  <c r="X220" i="1"/>
  <c r="Y31" i="1"/>
  <c r="Y152" i="1"/>
  <c r="X291" i="1"/>
  <c r="X250" i="1"/>
  <c r="X178" i="1"/>
  <c r="X182" i="1"/>
  <c r="X142" i="1"/>
  <c r="Y164" i="1"/>
  <c r="X150" i="1"/>
  <c r="Z15" i="1"/>
  <c r="X125" i="1"/>
  <c r="Y153" i="1"/>
  <c r="Z8" i="1"/>
  <c r="Y143" i="1"/>
  <c r="Z191" i="1"/>
  <c r="Z140" i="1"/>
  <c r="Y49" i="1"/>
  <c r="Y275" i="1"/>
  <c r="Z60" i="1"/>
  <c r="Z232" i="1"/>
  <c r="Z105" i="1"/>
  <c r="Z157" i="1"/>
  <c r="Z127" i="1"/>
  <c r="Z243" i="1"/>
  <c r="Z286" i="1"/>
  <c r="Z174" i="1"/>
  <c r="X287" i="1"/>
  <c r="X50" i="1"/>
  <c r="X244" i="1"/>
  <c r="Z56" i="1"/>
  <c r="Z138" i="1"/>
  <c r="Z151" i="1"/>
  <c r="Y293" i="1"/>
  <c r="Y4" i="1"/>
  <c r="Y40" i="1"/>
  <c r="Z177" i="1"/>
  <c r="Y43" i="1"/>
  <c r="Z21" i="1"/>
  <c r="Y11" i="1"/>
  <c r="X18" i="1"/>
  <c r="Z158" i="1"/>
  <c r="X293" i="1"/>
  <c r="X251" i="1"/>
  <c r="Y306" i="1"/>
  <c r="Z164" i="1"/>
  <c r="X126" i="1"/>
  <c r="Y254" i="1"/>
  <c r="X200" i="1"/>
  <c r="X160" i="1"/>
  <c r="Z302" i="1"/>
  <c r="X138" i="1"/>
  <c r="Y181" i="1"/>
  <c r="X314" i="1"/>
  <c r="X64" i="1"/>
  <c r="X230" i="1"/>
  <c r="Z118" i="1"/>
  <c r="X176" i="1"/>
  <c r="Z170" i="1"/>
  <c r="X147" i="1"/>
  <c r="X215" i="1"/>
  <c r="Z65" i="1"/>
  <c r="X30" i="1"/>
  <c r="Y200" i="1"/>
  <c r="Y193" i="1"/>
  <c r="Y149" i="1"/>
  <c r="X164" i="1"/>
  <c r="X199" i="1"/>
  <c r="X55" i="1"/>
  <c r="Y15" i="1"/>
  <c r="Z137" i="1"/>
  <c r="X153" i="1"/>
  <c r="Y8" i="1"/>
  <c r="Z143" i="1"/>
  <c r="Y191" i="1"/>
  <c r="X140" i="1"/>
  <c r="X49" i="1"/>
  <c r="Z26" i="1"/>
  <c r="Y60" i="1"/>
  <c r="X232" i="1"/>
  <c r="Y105" i="1"/>
  <c r="Y157" i="1"/>
  <c r="X127" i="1"/>
  <c r="X243" i="1"/>
  <c r="X286" i="1"/>
  <c r="X174" i="1"/>
  <c r="Z245" i="1"/>
  <c r="Y47" i="1"/>
  <c r="Z305" i="1"/>
  <c r="Y106" i="1"/>
  <c r="Z247" i="1"/>
  <c r="Z202" i="1"/>
  <c r="Z277" i="1"/>
  <c r="Z119" i="1"/>
  <c r="Y18" i="1"/>
  <c r="Z250" i="1"/>
  <c r="X292" i="1"/>
  <c r="X305" i="1"/>
  <c r="X169" i="1"/>
  <c r="X152" i="1"/>
  <c r="Z178" i="1"/>
  <c r="Z58" i="1"/>
  <c r="Z210" i="1"/>
  <c r="X188" i="1"/>
  <c r="X172" i="1"/>
  <c r="Z59" i="1"/>
  <c r="Y242" i="1"/>
  <c r="Z132" i="1"/>
  <c r="X130" i="1"/>
  <c r="X133" i="1"/>
  <c r="X107" i="1"/>
  <c r="X159" i="1"/>
  <c r="Z149" i="1"/>
  <c r="Z172" i="1"/>
  <c r="X210" i="1"/>
  <c r="Z120" i="1"/>
  <c r="X109" i="1"/>
  <c r="Y314" i="1"/>
  <c r="Y132" i="1"/>
  <c r="Y42" i="1"/>
  <c r="Z199" i="1"/>
  <c r="Y137" i="1"/>
  <c r="X8" i="1"/>
  <c r="X143" i="1"/>
  <c r="X201" i="1"/>
  <c r="Y209" i="1"/>
  <c r="Z162" i="1"/>
  <c r="Z16" i="1"/>
  <c r="Y26" i="1"/>
  <c r="X60" i="1"/>
  <c r="X105" i="1"/>
  <c r="X157" i="1"/>
  <c r="Z190" i="1"/>
  <c r="Z173" i="1"/>
  <c r="Y25" i="1"/>
  <c r="Y172" i="1"/>
  <c r="Y35" i="1"/>
  <c r="Y68" i="1"/>
  <c r="Y177" i="1"/>
  <c r="Z107" i="1"/>
  <c r="Y158" i="1"/>
  <c r="Y277" i="1"/>
  <c r="Y131" i="1"/>
  <c r="X181" i="1"/>
  <c r="X57" i="1"/>
  <c r="X225" i="1"/>
  <c r="Z271" i="1"/>
  <c r="Z284" i="1"/>
  <c r="Y166" i="1"/>
  <c r="Y213" i="1"/>
  <c r="Y248" i="1"/>
  <c r="Y53" i="1"/>
  <c r="Y170" i="1"/>
  <c r="X249" i="1"/>
  <c r="Z52" i="1"/>
  <c r="Z2" i="1"/>
  <c r="X45" i="1"/>
  <c r="X149" i="1"/>
  <c r="X41" i="1"/>
  <c r="Z196" i="1"/>
  <c r="X279" i="1"/>
  <c r="Z29" i="1"/>
  <c r="Y109" i="1"/>
  <c r="Y56" i="1"/>
  <c r="X7" i="1"/>
  <c r="X3" i="1"/>
  <c r="Y151" i="1"/>
  <c r="Y6" i="1"/>
  <c r="Z46" i="1"/>
  <c r="Y121" i="1"/>
  <c r="Y54" i="1"/>
  <c r="Y199" i="1"/>
  <c r="Y3" i="1"/>
  <c r="Y169" i="1"/>
  <c r="Z33" i="1"/>
  <c r="X6" i="1"/>
  <c r="X137" i="1"/>
  <c r="Y46" i="1"/>
  <c r="Y171" i="1"/>
  <c r="Z201" i="1"/>
  <c r="Z209" i="1"/>
  <c r="Y162" i="1"/>
  <c r="Y16" i="1"/>
  <c r="X26" i="1"/>
  <c r="Y161" i="1"/>
  <c r="Z186" i="1"/>
  <c r="Z141" i="1"/>
  <c r="Z233" i="1"/>
  <c r="Y190" i="1"/>
  <c r="Z309" i="1"/>
  <c r="Y173" i="1"/>
  <c r="Z25" i="1"/>
  <c r="X245" i="1"/>
  <c r="Z224" i="1"/>
  <c r="Z32" i="1"/>
  <c r="Z180" i="1"/>
  <c r="Y59" i="1"/>
  <c r="Z169" i="1"/>
  <c r="Z254" i="1"/>
  <c r="Y119" i="1"/>
  <c r="Y288" i="1"/>
  <c r="Z288" i="1"/>
  <c r="X31" i="1"/>
  <c r="X228" i="1"/>
  <c r="Z278" i="1"/>
  <c r="Z54" i="1"/>
  <c r="Y296" i="1"/>
  <c r="X273" i="1"/>
  <c r="X148" i="1"/>
  <c r="Y202" i="1"/>
  <c r="Y184" i="1"/>
  <c r="Z148" i="1"/>
  <c r="Z291" i="1"/>
  <c r="X288" i="1"/>
  <c r="Y195" i="1"/>
  <c r="Z64" i="1"/>
  <c r="Z195" i="1"/>
  <c r="Y65" i="1"/>
  <c r="X237" i="1"/>
  <c r="Z235" i="1"/>
  <c r="Z241" i="1"/>
  <c r="Y148" i="1"/>
  <c r="X16" i="2"/>
  <c r="Y16" i="2"/>
  <c r="Z16" i="2"/>
  <c r="X15" i="2"/>
  <c r="Y15" i="2"/>
  <c r="Z15" i="2"/>
  <c r="X14" i="2"/>
  <c r="Y14" i="2"/>
  <c r="Z14" i="2"/>
  <c r="X13" i="2"/>
  <c r="Y13" i="2"/>
  <c r="Z13" i="2"/>
  <c r="X12" i="2"/>
  <c r="Y12" i="2"/>
  <c r="Z12" i="2"/>
  <c r="X11" i="2"/>
  <c r="Y11" i="2"/>
  <c r="Z11" i="2"/>
  <c r="X10" i="2"/>
  <c r="Y10" i="2"/>
  <c r="Z10" i="2"/>
  <c r="X9" i="2"/>
  <c r="Y9" i="2"/>
  <c r="Z9" i="2"/>
  <c r="X8" i="2"/>
  <c r="Y8" i="2"/>
  <c r="Z8" i="2"/>
  <c r="X7" i="2"/>
  <c r="Y7" i="2"/>
  <c r="Z7" i="2"/>
  <c r="X6" i="2"/>
  <c r="Y6" i="2"/>
  <c r="Z6" i="2"/>
  <c r="X5" i="2"/>
  <c r="Y5" i="2"/>
  <c r="Z5" i="2"/>
  <c r="X4" i="2"/>
  <c r="Y4" i="2"/>
  <c r="Z4" i="2"/>
  <c r="X3" i="2"/>
  <c r="Y3" i="2"/>
  <c r="Z3" i="2"/>
  <c r="X2" i="2"/>
  <c r="Y2" i="2"/>
  <c r="Z2" i="2"/>
</calcChain>
</file>

<file path=xl/sharedStrings.xml><?xml version="1.0" encoding="utf-8"?>
<sst xmlns="http://schemas.openxmlformats.org/spreadsheetml/2006/main" count="3519" uniqueCount="671">
  <si>
    <t>RecombinantProtein</t>
  </si>
  <si>
    <t>Gene</t>
  </si>
  <si>
    <t>PAS</t>
  </si>
  <si>
    <t>FinalAnnotation</t>
  </si>
  <si>
    <t>Modification</t>
  </si>
  <si>
    <t>Round</t>
  </si>
  <si>
    <t>StrainID</t>
  </si>
  <si>
    <t>OD_24hr_1</t>
  </si>
  <si>
    <t>OD_24hr_2</t>
  </si>
  <si>
    <t>OD_24hr_3</t>
  </si>
  <si>
    <t>OD_48hr_1</t>
  </si>
  <si>
    <t>OD_48hr_2</t>
  </si>
  <si>
    <t>OD_48hr_3</t>
  </si>
  <si>
    <t>OD_72hrs_1</t>
  </si>
  <si>
    <t>OD_72hrs_2</t>
  </si>
  <si>
    <t>OD_72hrs_3</t>
  </si>
  <si>
    <t>Titer_1</t>
  </si>
  <si>
    <t>Titer_2</t>
  </si>
  <si>
    <t>Titer_3</t>
  </si>
  <si>
    <t>TiterMeasured_hrs</t>
  </si>
  <si>
    <t>qp_mg/L//OD/hr_1</t>
  </si>
  <si>
    <t>qp_mg/L//OD/hr_2</t>
  </si>
  <si>
    <t>qp_mg/L//OD/hr_3</t>
  </si>
  <si>
    <t>FC_1</t>
  </si>
  <si>
    <t>FC_2</t>
  </si>
  <si>
    <t>FC_3</t>
  </si>
  <si>
    <t>HSA</t>
  </si>
  <si>
    <t>GQ67_03579</t>
  </si>
  <si>
    <t>PAS_chr3_0506</t>
  </si>
  <si>
    <t>ARO1</t>
  </si>
  <si>
    <t>Upregulation</t>
  </si>
  <si>
    <t>sRA142</t>
  </si>
  <si>
    <t>NA</t>
  </si>
  <si>
    <t>GQ67_04574</t>
  </si>
  <si>
    <t>PAS_chr4_0248</t>
  </si>
  <si>
    <t>BAT1</t>
  </si>
  <si>
    <t>sRA143</t>
  </si>
  <si>
    <t>GQ67_04616</t>
  </si>
  <si>
    <t>PAS_chr4_0284</t>
  </si>
  <si>
    <t>TRX1</t>
  </si>
  <si>
    <t>sRA144</t>
  </si>
  <si>
    <t>GQ67_01524</t>
  </si>
  <si>
    <t>PAS_chr1-4_0615</t>
  </si>
  <si>
    <t>MIR1</t>
  </si>
  <si>
    <t>sRA145</t>
  </si>
  <si>
    <t>GQ67_02025</t>
  </si>
  <si>
    <t>PAS_chr1-4_0160</t>
  </si>
  <si>
    <t>HIS4</t>
  </si>
  <si>
    <t>sRA146</t>
  </si>
  <si>
    <t>GQ67_01504</t>
  </si>
  <si>
    <t>PAS_chr1-4_0632</t>
  </si>
  <si>
    <t>MIS1</t>
  </si>
  <si>
    <t>sRA147</t>
  </si>
  <si>
    <t>GQ67_01546</t>
  </si>
  <si>
    <t>PAS_chr1-4_0593</t>
  </si>
  <si>
    <t>sRA148</t>
  </si>
  <si>
    <t>GQ67_01925</t>
  </si>
  <si>
    <t>PAS_chr1-4_0254</t>
  </si>
  <si>
    <t>PDX1</t>
  </si>
  <si>
    <t>sRA149</t>
  </si>
  <si>
    <t>GQ67_02612</t>
  </si>
  <si>
    <t>PAS_chr1-1_0050</t>
  </si>
  <si>
    <t>LAT1</t>
  </si>
  <si>
    <t>sRA150</t>
  </si>
  <si>
    <t>GQ67_02783</t>
  </si>
  <si>
    <t>PAS_chr1-1_0202</t>
  </si>
  <si>
    <t>sRA151</t>
  </si>
  <si>
    <t>GQ67_02815</t>
  </si>
  <si>
    <t>PAS_chr1-1_0233</t>
  </si>
  <si>
    <t>IDP1</t>
  </si>
  <si>
    <t>sRA152</t>
  </si>
  <si>
    <t>GQ67_02359</t>
  </si>
  <si>
    <t>PAS_chr1-3_0104</t>
  </si>
  <si>
    <t>ACO1</t>
  </si>
  <si>
    <t>sRA153</t>
  </si>
  <si>
    <t>GQ67_01902</t>
  </si>
  <si>
    <t>PAS_chr1-4_0697</t>
  </si>
  <si>
    <t>DFR1</t>
  </si>
  <si>
    <t>sRA154</t>
  </si>
  <si>
    <t>GQ67_02391</t>
  </si>
  <si>
    <t>PAS_chr1-3_0137</t>
  </si>
  <si>
    <t>ATP11</t>
  </si>
  <si>
    <t>TF Upregulation</t>
  </si>
  <si>
    <t>GQ67_01227</t>
  </si>
  <si>
    <t>PAS_chr2-2_0119</t>
  </si>
  <si>
    <t>ATP12</t>
  </si>
  <si>
    <t>None</t>
  </si>
  <si>
    <t>Control</t>
  </si>
  <si>
    <t>S-1311</t>
  </si>
  <si>
    <t>GQ67_05043</t>
  </si>
  <si>
    <t>PAS_chr4_0980</t>
  </si>
  <si>
    <t>FHL1</t>
  </si>
  <si>
    <t>sRA304</t>
  </si>
  <si>
    <t>GQ67_04520</t>
  </si>
  <si>
    <t>PAS_chr4_0203</t>
  </si>
  <si>
    <t>ASG1</t>
  </si>
  <si>
    <t>sRA305</t>
  </si>
  <si>
    <t>GQ67_01423</t>
  </si>
  <si>
    <t>PAS_FragB_0075</t>
  </si>
  <si>
    <t>GAL4</t>
  </si>
  <si>
    <t>sRA306</t>
  </si>
  <si>
    <t>GQ67_04852</t>
  </si>
  <si>
    <t>PAS_chr4_0487</t>
  </si>
  <si>
    <t>ADR1</t>
  </si>
  <si>
    <t>sRA307</t>
  </si>
  <si>
    <t>GQ67_04071</t>
  </si>
  <si>
    <t>PAS_chr3_1242</t>
  </si>
  <si>
    <t>NRG1</t>
  </si>
  <si>
    <t>sRA308</t>
  </si>
  <si>
    <t>GQ67_04021</t>
  </si>
  <si>
    <t>PAS_chr3_0897</t>
  </si>
  <si>
    <t>AFT2</t>
  </si>
  <si>
    <t>sRA309</t>
  </si>
  <si>
    <t>GQ67_00827</t>
  </si>
  <si>
    <t>PAS_chr2-1_0757</t>
  </si>
  <si>
    <t>CAT8</t>
  </si>
  <si>
    <t>sRA310</t>
  </si>
  <si>
    <t>GQ67_03926</t>
  </si>
  <si>
    <t>PAS_chr3_0819</t>
  </si>
  <si>
    <t>ATP20</t>
  </si>
  <si>
    <t>Knockout</t>
  </si>
  <si>
    <t>sRA534</t>
  </si>
  <si>
    <t>GQ67_02699</t>
  </si>
  <si>
    <t>PAS_chr1-1_0124</t>
  </si>
  <si>
    <t>sRA535</t>
  </si>
  <si>
    <t>GQ67_02470</t>
  </si>
  <si>
    <t>PAS_chr1-3_0210</t>
  </si>
  <si>
    <t>sRA536</t>
  </si>
  <si>
    <t>GQ67_02149</t>
  </si>
  <si>
    <t>PAS_chr1-4_0039</t>
  </si>
  <si>
    <t>sRA537</t>
  </si>
  <si>
    <t>GQ67_01567</t>
  </si>
  <si>
    <t>PAS_chr1-4_0575</t>
  </si>
  <si>
    <t>sRA538</t>
  </si>
  <si>
    <t>GQ67_01322</t>
  </si>
  <si>
    <t>PAS_chr2-2_0035</t>
  </si>
  <si>
    <t>sRA539</t>
  </si>
  <si>
    <t>GQ67_01214</t>
  </si>
  <si>
    <t>PAS_chr2-2_0462</t>
  </si>
  <si>
    <t>sRA540</t>
  </si>
  <si>
    <t>GQ67_03913</t>
  </si>
  <si>
    <t>PAS_chr3_0808</t>
  </si>
  <si>
    <t>sRA541</t>
  </si>
  <si>
    <t>GQ67_04696</t>
  </si>
  <si>
    <t>PAS_chr4_0355</t>
  </si>
  <si>
    <t>sRA542</t>
  </si>
  <si>
    <t>sRA543</t>
  </si>
  <si>
    <t>sRA544</t>
  </si>
  <si>
    <t>GQ67_03860</t>
  </si>
  <si>
    <t>PAS_chr3_0763</t>
  </si>
  <si>
    <t>AQY1</t>
  </si>
  <si>
    <t>sRA545</t>
  </si>
  <si>
    <t>GQ67_00143</t>
  </si>
  <si>
    <t>PAS_chr2-1_0115</t>
  </si>
  <si>
    <t>sRA546</t>
  </si>
  <si>
    <t>GQ67_00402</t>
  </si>
  <si>
    <t>PAS_chr2-1_0363</t>
  </si>
  <si>
    <t>COX13</t>
  </si>
  <si>
    <t>sRA547</t>
  </si>
  <si>
    <t>GQ67_05127</t>
  </si>
  <si>
    <t>PAS_chr4_0744</t>
  </si>
  <si>
    <t>COA1</t>
  </si>
  <si>
    <t>sRA548</t>
  </si>
  <si>
    <t>GQ67_01771</t>
  </si>
  <si>
    <t>PAS_chr1-4_0394</t>
  </si>
  <si>
    <t>MEP2</t>
  </si>
  <si>
    <t>sRA549</t>
  </si>
  <si>
    <t>GQ67_04947</t>
  </si>
  <si>
    <t>PAS_chr4_0576</t>
  </si>
  <si>
    <t>ADH6</t>
  </si>
  <si>
    <t>sRA550</t>
  </si>
  <si>
    <t>GQ67_02253</t>
  </si>
  <si>
    <t>PAS_chr1-1_0394</t>
  </si>
  <si>
    <t>YEL020C</t>
  </si>
  <si>
    <t>sRA551</t>
  </si>
  <si>
    <t>GQ67_03272</t>
  </si>
  <si>
    <t>PAS_chr3_0226</t>
  </si>
  <si>
    <t>AVT1</t>
  </si>
  <si>
    <t>sRA438</t>
  </si>
  <si>
    <t>GQ67_01184</t>
  </si>
  <si>
    <t>PAS_chr2-2_0160</t>
  </si>
  <si>
    <t>AVT6</t>
  </si>
  <si>
    <t>sRA439</t>
  </si>
  <si>
    <t>GQ67_00985</t>
  </si>
  <si>
    <t>PAS_chr2-2_0343</t>
  </si>
  <si>
    <t>AVT4</t>
  </si>
  <si>
    <t>sRA440</t>
  </si>
  <si>
    <t>GQ67_03352</t>
  </si>
  <si>
    <t>PAS_chr3_0295</t>
  </si>
  <si>
    <t>AVT3</t>
  </si>
  <si>
    <t>sRA441</t>
  </si>
  <si>
    <t>GQ67_03567</t>
  </si>
  <si>
    <t>PAS_chr3_0495</t>
  </si>
  <si>
    <t>PHO91</t>
  </si>
  <si>
    <t>sRA442</t>
  </si>
  <si>
    <t>GQ67_00126</t>
  </si>
  <si>
    <t>PAS_chr2-1_0101</t>
  </si>
  <si>
    <t>sRA443</t>
  </si>
  <si>
    <t>GQ67_03308</t>
  </si>
  <si>
    <t>PAS_chr3_0257</t>
  </si>
  <si>
    <t>ADK1</t>
  </si>
  <si>
    <t>sRA444</t>
  </si>
  <si>
    <t>GQ67_02278</t>
  </si>
  <si>
    <t>PAS_chr1-3_0028</t>
  </si>
  <si>
    <t>IPP1</t>
  </si>
  <si>
    <t>sRA445</t>
  </si>
  <si>
    <t>GQ67_02321</t>
  </si>
  <si>
    <t>PAS_chr1-3_0070</t>
  </si>
  <si>
    <t>PPA2</t>
  </si>
  <si>
    <t>sRA446</t>
  </si>
  <si>
    <t>GQ67_05381</t>
  </si>
  <si>
    <t>PAS_chr2-1_0776</t>
  </si>
  <si>
    <t>sRA447</t>
  </si>
  <si>
    <t>GQ67_02564</t>
  </si>
  <si>
    <t>PAS_chr1-1_0008</t>
  </si>
  <si>
    <t>FAS1</t>
  </si>
  <si>
    <t>sRA448</t>
  </si>
  <si>
    <t>GQ67_01880</t>
  </si>
  <si>
    <t>PAS_chr1-4_0295</t>
  </si>
  <si>
    <t>FAS2</t>
  </si>
  <si>
    <t>sRA449</t>
  </si>
  <si>
    <t>GQ67_04711</t>
  </si>
  <si>
    <t>PAS_chr4_0368</t>
  </si>
  <si>
    <t>IFA38</t>
  </si>
  <si>
    <t>sRA450</t>
  </si>
  <si>
    <t>GQ67_01609</t>
  </si>
  <si>
    <t>PAS_chr1-4_0538</t>
  </si>
  <si>
    <t>POX1</t>
  </si>
  <si>
    <t>sRA451</t>
  </si>
  <si>
    <t>GQ67_01929</t>
  </si>
  <si>
    <t>PAS_chr1-4_0249</t>
  </si>
  <si>
    <t>ACC1</t>
  </si>
  <si>
    <t>sRA452</t>
  </si>
  <si>
    <t>GQ67_05173</t>
  </si>
  <si>
    <t>PAS_chr4_0785</t>
  </si>
  <si>
    <t>sRA453</t>
  </si>
  <si>
    <t>GQ67_05405</t>
  </si>
  <si>
    <t>PAS_chr3_1024</t>
  </si>
  <si>
    <t>sRA454</t>
  </si>
  <si>
    <t>GQ67_04300</t>
  </si>
  <si>
    <t>PAS_c131_0021</t>
  </si>
  <si>
    <t>VMA2</t>
  </si>
  <si>
    <t>sRA455</t>
  </si>
  <si>
    <t>GQ67_04974</t>
  </si>
  <si>
    <t>PAS_chr4_0601</t>
  </si>
  <si>
    <t>YAP1</t>
  </si>
  <si>
    <t>sRA456</t>
  </si>
  <si>
    <t>GQ67_01831</t>
  </si>
  <si>
    <t>PAS_chr1-4_0339</t>
  </si>
  <si>
    <t>GCN4</t>
  </si>
  <si>
    <t>sRA457</t>
  </si>
  <si>
    <t>GQ67_03778</t>
  </si>
  <si>
    <t>PAS_chr3_0689</t>
  </si>
  <si>
    <t>RPN4</t>
  </si>
  <si>
    <t>sRA458</t>
  </si>
  <si>
    <t>GQ67_01348</t>
  </si>
  <si>
    <t>PDR1</t>
  </si>
  <si>
    <t>sRA459</t>
  </si>
  <si>
    <t>GQ67_04483</t>
  </si>
  <si>
    <t>PAS_chr4_0169</t>
  </si>
  <si>
    <t>SFP1</t>
  </si>
  <si>
    <t>sRA460</t>
  </si>
  <si>
    <t>GQ67_02424</t>
  </si>
  <si>
    <t>PAS_chr1-3_0170</t>
  </si>
  <si>
    <t>MET32</t>
  </si>
  <si>
    <t>sRA461</t>
  </si>
  <si>
    <t>GQ67_01755</t>
  </si>
  <si>
    <t>PAS_chr1-4_0407</t>
  </si>
  <si>
    <t>CBF1</t>
  </si>
  <si>
    <t>sRA462</t>
  </si>
  <si>
    <t>GQ67_03152</t>
  </si>
  <si>
    <t>PAS_chr3_0135</t>
  </si>
  <si>
    <t>CST6</t>
  </si>
  <si>
    <t>sRA463</t>
  </si>
  <si>
    <t>GQ67_02906</t>
  </si>
  <si>
    <t>PAS_chr1-1_0322</t>
  </si>
  <si>
    <t>QCR7</t>
  </si>
  <si>
    <t>sRA75</t>
  </si>
  <si>
    <t>GQ67_01859</t>
  </si>
  <si>
    <t>PAS_chr1-4_0313</t>
  </si>
  <si>
    <t>sRA76</t>
  </si>
  <si>
    <t>GQ67_04325</t>
  </si>
  <si>
    <t>PAS_chr4_0018</t>
  </si>
  <si>
    <t>CYC1</t>
  </si>
  <si>
    <t>sRA77</t>
  </si>
  <si>
    <t>GQ67_04999</t>
  </si>
  <si>
    <t>PAS_chr4_0624</t>
  </si>
  <si>
    <t>sRA78</t>
  </si>
  <si>
    <t>GQ67_00483</t>
  </si>
  <si>
    <t>PAS_chr2-1_0437</t>
  </si>
  <si>
    <t>TDH3</t>
  </si>
  <si>
    <t>sRA79</t>
  </si>
  <si>
    <t>GQ67_01874</t>
  </si>
  <si>
    <t>PAS_chr1-4_0299</t>
  </si>
  <si>
    <t>NDE1</t>
  </si>
  <si>
    <t>sRA80</t>
  </si>
  <si>
    <t>GQ67_00515</t>
  </si>
  <si>
    <t>PAS_chr2-1_0850</t>
  </si>
  <si>
    <t>RIP1</t>
  </si>
  <si>
    <t>sRA81</t>
  </si>
  <si>
    <t>GQ67_04527</t>
  </si>
  <si>
    <t>PAS_chr4_0210</t>
  </si>
  <si>
    <t>PET9</t>
  </si>
  <si>
    <t>sRA82</t>
  </si>
  <si>
    <t>GQ67_03098</t>
  </si>
  <si>
    <t>PAS_chr3_0082</t>
  </si>
  <si>
    <t>ENO1</t>
  </si>
  <si>
    <t>sRA83</t>
  </si>
  <si>
    <t>sRA84</t>
  </si>
  <si>
    <t>GQ67_00553</t>
  </si>
  <si>
    <t>PAS_chr2-1_0506</t>
  </si>
  <si>
    <t>GIS1</t>
  </si>
  <si>
    <t>sRA85</t>
  </si>
  <si>
    <t>GQ67_03228</t>
  </si>
  <si>
    <t>PAS_chr3_0188</t>
  </si>
  <si>
    <t>PDC1</t>
  </si>
  <si>
    <t>sRA86</t>
  </si>
  <si>
    <t>GQ67_02696</t>
  </si>
  <si>
    <t>PAS_chr1-1_0475</t>
  </si>
  <si>
    <t>CIT1</t>
  </si>
  <si>
    <t>sRA87</t>
  </si>
  <si>
    <t>nb3B2</t>
  </si>
  <si>
    <t>sRA157</t>
  </si>
  <si>
    <t>sRA158</t>
  </si>
  <si>
    <t>sRA159</t>
  </si>
  <si>
    <t>sRA160</t>
  </si>
  <si>
    <t>sRA161</t>
  </si>
  <si>
    <t>sRA162</t>
  </si>
  <si>
    <t>sRA163</t>
  </si>
  <si>
    <t>sRA164</t>
  </si>
  <si>
    <t>sRA165</t>
  </si>
  <si>
    <t>sRA166</t>
  </si>
  <si>
    <t>sRA167</t>
  </si>
  <si>
    <t>sRA168</t>
  </si>
  <si>
    <t>sRA169</t>
  </si>
  <si>
    <t>S-1076</t>
  </si>
  <si>
    <t>sRA311</t>
  </si>
  <si>
    <t>sRA312</t>
  </si>
  <si>
    <t>sRA313</t>
  </si>
  <si>
    <t>sRA314</t>
  </si>
  <si>
    <t>sRA315</t>
  </si>
  <si>
    <t>sRA316</t>
  </si>
  <si>
    <t>sRA317</t>
  </si>
  <si>
    <t>GQ67_00322</t>
  </si>
  <si>
    <t>VPS55</t>
  </si>
  <si>
    <t>sRA224</t>
  </si>
  <si>
    <t>GQ67_00390</t>
  </si>
  <si>
    <t>sRA225</t>
  </si>
  <si>
    <t>GQ67_00404</t>
  </si>
  <si>
    <t>YGL010W</t>
  </si>
  <si>
    <t>sRA226</t>
  </si>
  <si>
    <t>GQ67_00681</t>
  </si>
  <si>
    <t>sRA227</t>
  </si>
  <si>
    <t>GQ67_00851</t>
  </si>
  <si>
    <t>CTR2</t>
  </si>
  <si>
    <t>sRA228</t>
  </si>
  <si>
    <t>GQ67_01001</t>
  </si>
  <si>
    <t>RPS25A</t>
  </si>
  <si>
    <t>sRA229</t>
  </si>
  <si>
    <t>GQ67_01027</t>
  </si>
  <si>
    <t>GIS2</t>
  </si>
  <si>
    <t>sRA230</t>
  </si>
  <si>
    <t>GQ67_01049</t>
  </si>
  <si>
    <t>SDH4</t>
  </si>
  <si>
    <t>sRA231</t>
  </si>
  <si>
    <t>GQ67_01178</t>
  </si>
  <si>
    <t>ATP2</t>
  </si>
  <si>
    <t>sRA232</t>
  </si>
  <si>
    <t>GQ67_01183</t>
  </si>
  <si>
    <t>TDA4</t>
  </si>
  <si>
    <t>sRA233</t>
  </si>
  <si>
    <t>GQ67_01188</t>
  </si>
  <si>
    <t>LCL2</t>
  </si>
  <si>
    <t>sRA234</t>
  </si>
  <si>
    <t>GQ67_01254</t>
  </si>
  <si>
    <t>TVP23</t>
  </si>
  <si>
    <t>sRA235</t>
  </si>
  <si>
    <t>GQ67_01385</t>
  </si>
  <si>
    <t>sRA236</t>
  </si>
  <si>
    <t>GQ67_01386</t>
  </si>
  <si>
    <t>HHT2</t>
  </si>
  <si>
    <t>sRA237</t>
  </si>
  <si>
    <t>GQ67_01561</t>
  </si>
  <si>
    <t>sRA238</t>
  </si>
  <si>
    <t>GQ67_01810</t>
  </si>
  <si>
    <t>MNP1</t>
  </si>
  <si>
    <t>sRA239</t>
  </si>
  <si>
    <t>GQ67_02207</t>
  </si>
  <si>
    <t>sRA240</t>
  </si>
  <si>
    <t>GQ67_02583</t>
  </si>
  <si>
    <t>YDR090C</t>
  </si>
  <si>
    <t>sRA241</t>
  </si>
  <si>
    <t>GQ67_02643</t>
  </si>
  <si>
    <t>sRA242</t>
  </si>
  <si>
    <t>GQ67_03106</t>
  </si>
  <si>
    <t>YBL028C</t>
  </si>
  <si>
    <t>sRA243</t>
  </si>
  <si>
    <t>GQ67_03115</t>
  </si>
  <si>
    <t>sRA244</t>
  </si>
  <si>
    <t>GQ67_03120</t>
  </si>
  <si>
    <t>sRA245</t>
  </si>
  <si>
    <t>GQ67_03440</t>
  </si>
  <si>
    <t>sRA246</t>
  </si>
  <si>
    <t>GQ67_03708</t>
  </si>
  <si>
    <t>sRA247</t>
  </si>
  <si>
    <t>GQ67_03945</t>
  </si>
  <si>
    <t>sRA249</t>
  </si>
  <si>
    <t>GQ67_04481</t>
  </si>
  <si>
    <t>YMR074C</t>
  </si>
  <si>
    <t>sRA250</t>
  </si>
  <si>
    <t>GQ67_04497</t>
  </si>
  <si>
    <t>CTR1</t>
  </si>
  <si>
    <t>sRA251</t>
  </si>
  <si>
    <t>GQ67_04660</t>
  </si>
  <si>
    <t>SRP54</t>
  </si>
  <si>
    <t>sRA252</t>
  </si>
  <si>
    <t>GQ67_04704</t>
  </si>
  <si>
    <t>sRA253</t>
  </si>
  <si>
    <t>GQ67_04707</t>
  </si>
  <si>
    <t>sRA254</t>
  </si>
  <si>
    <t>GQ67_04758</t>
  </si>
  <si>
    <t>TMA10</t>
  </si>
  <si>
    <t>sRA255</t>
  </si>
  <si>
    <t>GQ67_04774</t>
  </si>
  <si>
    <t>sRA256</t>
  </si>
  <si>
    <t>GQ67_04854</t>
  </si>
  <si>
    <t>YGL108C</t>
  </si>
  <si>
    <t>sRA257</t>
  </si>
  <si>
    <t>GQ67_04942</t>
  </si>
  <si>
    <t>GRE2</t>
  </si>
  <si>
    <t>sRA258</t>
  </si>
  <si>
    <t>GQ67_04970</t>
  </si>
  <si>
    <t>sRA259</t>
  </si>
  <si>
    <t>GQ67_05067</t>
  </si>
  <si>
    <t>RPP1B</t>
  </si>
  <si>
    <t>sRA260</t>
  </si>
  <si>
    <t>sRA570</t>
  </si>
  <si>
    <t>sRA571</t>
  </si>
  <si>
    <t>sRA572</t>
  </si>
  <si>
    <t>sRA573</t>
  </si>
  <si>
    <t>sRA574</t>
  </si>
  <si>
    <t>sRA575</t>
  </si>
  <si>
    <t>sRA576</t>
  </si>
  <si>
    <t>sRA577</t>
  </si>
  <si>
    <t>sRA578</t>
  </si>
  <si>
    <t>sRA579</t>
  </si>
  <si>
    <t>sRA580</t>
  </si>
  <si>
    <t>sRA581</t>
  </si>
  <si>
    <t>sRA582</t>
  </si>
  <si>
    <t>sRA583</t>
  </si>
  <si>
    <t>sRA584</t>
  </si>
  <si>
    <t>sRA585</t>
  </si>
  <si>
    <t>sRA586</t>
  </si>
  <si>
    <t>sRA587</t>
  </si>
  <si>
    <t>sRA490</t>
  </si>
  <si>
    <t>sRA491</t>
  </si>
  <si>
    <t>sRA492</t>
  </si>
  <si>
    <t>sRA493</t>
  </si>
  <si>
    <t>sRA494</t>
  </si>
  <si>
    <t>sRA495</t>
  </si>
  <si>
    <t>sRA496</t>
  </si>
  <si>
    <t>sRA497</t>
  </si>
  <si>
    <t>sRA498</t>
  </si>
  <si>
    <t>sRA499</t>
  </si>
  <si>
    <t>sRA500</t>
  </si>
  <si>
    <t>sRA501</t>
  </si>
  <si>
    <t>sRA502</t>
  </si>
  <si>
    <t>sRA503</t>
  </si>
  <si>
    <t>sRA504</t>
  </si>
  <si>
    <t>sRA505</t>
  </si>
  <si>
    <t>sRA506</t>
  </si>
  <si>
    <t>sRA507</t>
  </si>
  <si>
    <t>sRA508</t>
  </si>
  <si>
    <t>sRA509</t>
  </si>
  <si>
    <t>sRA510</t>
  </si>
  <si>
    <t>sRA511</t>
  </si>
  <si>
    <t>sRA512</t>
  </si>
  <si>
    <t>sRA513</t>
  </si>
  <si>
    <t>sRA514</t>
  </si>
  <si>
    <t>sRA515</t>
  </si>
  <si>
    <t>RBDJ</t>
  </si>
  <si>
    <t>sRA112</t>
  </si>
  <si>
    <t>sRA113</t>
  </si>
  <si>
    <t>sRA114</t>
  </si>
  <si>
    <t>sRA115</t>
  </si>
  <si>
    <t>sRA116</t>
  </si>
  <si>
    <t>sRA117</t>
  </si>
  <si>
    <t>sRA118</t>
  </si>
  <si>
    <t>sRA119</t>
  </si>
  <si>
    <t>sRA120</t>
  </si>
  <si>
    <t>sRA121</t>
  </si>
  <si>
    <t>S-1078</t>
  </si>
  <si>
    <t>sRA318</t>
  </si>
  <si>
    <t>sRA319</t>
  </si>
  <si>
    <t>sRA320</t>
  </si>
  <si>
    <t>sRA321</t>
  </si>
  <si>
    <t>sRA322</t>
  </si>
  <si>
    <t>sRA323</t>
  </si>
  <si>
    <t>sRA324</t>
  </si>
  <si>
    <t>sRA552</t>
  </si>
  <si>
    <t>sRA553</t>
  </si>
  <si>
    <t>sRA554</t>
  </si>
  <si>
    <t>sRA555</t>
  </si>
  <si>
    <t>sRA556</t>
  </si>
  <si>
    <t>sRA557</t>
  </si>
  <si>
    <t>sRA558</t>
  </si>
  <si>
    <t>sRA559</t>
  </si>
  <si>
    <t>sRA560</t>
  </si>
  <si>
    <t>sRA561</t>
  </si>
  <si>
    <t>sRA562</t>
  </si>
  <si>
    <t>sRA563</t>
  </si>
  <si>
    <t>sRA564</t>
  </si>
  <si>
    <t>sRA565</t>
  </si>
  <si>
    <t>sRA566</t>
  </si>
  <si>
    <t>sRA567</t>
  </si>
  <si>
    <t>sRA568</t>
  </si>
  <si>
    <t>sRA569</t>
  </si>
  <si>
    <t>sRA464</t>
  </si>
  <si>
    <t>sRA465</t>
  </si>
  <si>
    <t>sRA466</t>
  </si>
  <si>
    <t>sRA467</t>
  </si>
  <si>
    <t>sRA468</t>
  </si>
  <si>
    <t>sRA469</t>
  </si>
  <si>
    <t>sRA470</t>
  </si>
  <si>
    <t>sRA471</t>
  </si>
  <si>
    <t>sRA472</t>
  </si>
  <si>
    <t>sRA473</t>
  </si>
  <si>
    <t>sRA474</t>
  </si>
  <si>
    <t>sRA475</t>
  </si>
  <si>
    <t>sRA476</t>
  </si>
  <si>
    <t>sRA477</t>
  </si>
  <si>
    <t>sRA478</t>
  </si>
  <si>
    <t>sRA479</t>
  </si>
  <si>
    <t>sRA480</t>
  </si>
  <si>
    <t>sRA481</t>
  </si>
  <si>
    <t>sRA482</t>
  </si>
  <si>
    <t>sRA483</t>
  </si>
  <si>
    <t>sRA484</t>
  </si>
  <si>
    <t>sRA485</t>
  </si>
  <si>
    <t>sRA486</t>
  </si>
  <si>
    <t>sRA487</t>
  </si>
  <si>
    <t>sRA488</t>
  </si>
  <si>
    <t>sRA489</t>
  </si>
  <si>
    <t>Trastuzumab</t>
  </si>
  <si>
    <t>sRA127</t>
  </si>
  <si>
    <t>sRA128</t>
  </si>
  <si>
    <t>sRA129</t>
  </si>
  <si>
    <t>sRA130</t>
  </si>
  <si>
    <t>sRA131</t>
  </si>
  <si>
    <t>sRA132</t>
  </si>
  <si>
    <t>sRA133</t>
  </si>
  <si>
    <t>sRA134</t>
  </si>
  <si>
    <t>sRA135</t>
  </si>
  <si>
    <t>sRA136</t>
  </si>
  <si>
    <t>sRA137</t>
  </si>
  <si>
    <t>sRA138</t>
  </si>
  <si>
    <t>sRA139</t>
  </si>
  <si>
    <t>sRA140</t>
  </si>
  <si>
    <t>sRA141</t>
  </si>
  <si>
    <t>sHF171.4</t>
  </si>
  <si>
    <t>sRA297</t>
  </si>
  <si>
    <t>sRA298</t>
  </si>
  <si>
    <t>sRA299</t>
  </si>
  <si>
    <t>sRA300</t>
  </si>
  <si>
    <t>sRA301</t>
  </si>
  <si>
    <t>sRA302</t>
  </si>
  <si>
    <t>sRA303</t>
  </si>
  <si>
    <t>sRA187</t>
  </si>
  <si>
    <t>sRA188</t>
  </si>
  <si>
    <t>sRA189</t>
  </si>
  <si>
    <t>sRA190</t>
  </si>
  <si>
    <t>sRA191</t>
  </si>
  <si>
    <t>sRA192</t>
  </si>
  <si>
    <t>sRA193</t>
  </si>
  <si>
    <t>sRA194</t>
  </si>
  <si>
    <t>sRA195</t>
  </si>
  <si>
    <t>sRA196</t>
  </si>
  <si>
    <t>sRA197</t>
  </si>
  <si>
    <t>sRA198</t>
  </si>
  <si>
    <t>sRA199</t>
  </si>
  <si>
    <t>sRA200</t>
  </si>
  <si>
    <t>sRA201</t>
  </si>
  <si>
    <t>sRA202</t>
  </si>
  <si>
    <t>sRA203</t>
  </si>
  <si>
    <t>sRA204</t>
  </si>
  <si>
    <t>sRA205</t>
  </si>
  <si>
    <t>sRA206</t>
  </si>
  <si>
    <t>sRA207</t>
  </si>
  <si>
    <t>sRA208</t>
  </si>
  <si>
    <t>sRA209</t>
  </si>
  <si>
    <t>sRA210</t>
  </si>
  <si>
    <t>sRA212</t>
  </si>
  <si>
    <t>sRA213</t>
  </si>
  <si>
    <t>sRA214</t>
  </si>
  <si>
    <t>sRA215</t>
  </si>
  <si>
    <t>sRA216</t>
  </si>
  <si>
    <t>sRA217</t>
  </si>
  <si>
    <t>sRA218</t>
  </si>
  <si>
    <t>sRA219</t>
  </si>
  <si>
    <t>sRA220</t>
  </si>
  <si>
    <t>sRA221</t>
  </si>
  <si>
    <t>sRA222</t>
  </si>
  <si>
    <t>sRA223</t>
  </si>
  <si>
    <t>sRA516</t>
  </si>
  <si>
    <t>sRA517</t>
  </si>
  <si>
    <t>sRA518</t>
  </si>
  <si>
    <t>sRA519</t>
  </si>
  <si>
    <t>sRA520</t>
  </si>
  <si>
    <t>sRA521</t>
  </si>
  <si>
    <t>sRA522</t>
  </si>
  <si>
    <t>sRA523</t>
  </si>
  <si>
    <t>sRA524</t>
  </si>
  <si>
    <t>sRA525</t>
  </si>
  <si>
    <t>sRA526</t>
  </si>
  <si>
    <t>sRA527</t>
  </si>
  <si>
    <t>sRA528</t>
  </si>
  <si>
    <t>sRA529</t>
  </si>
  <si>
    <t>sRA530</t>
  </si>
  <si>
    <t>sRA531</t>
  </si>
  <si>
    <t>sRA532</t>
  </si>
  <si>
    <t>sRA533</t>
  </si>
  <si>
    <t>sRA412</t>
  </si>
  <si>
    <t>sRA413</t>
  </si>
  <si>
    <t>sRA414</t>
  </si>
  <si>
    <t>sRA415</t>
  </si>
  <si>
    <t>sRA416</t>
  </si>
  <si>
    <t>sRA417</t>
  </si>
  <si>
    <t>sRA418</t>
  </si>
  <si>
    <t>sRA419</t>
  </si>
  <si>
    <t>sRA420</t>
  </si>
  <si>
    <t>sRA421</t>
  </si>
  <si>
    <t>sRA422</t>
  </si>
  <si>
    <t>sRA423</t>
  </si>
  <si>
    <t>sRA424</t>
  </si>
  <si>
    <t>sRA425</t>
  </si>
  <si>
    <t>sRA426</t>
  </si>
  <si>
    <t>sRA427</t>
  </si>
  <si>
    <t>sRA428</t>
  </si>
  <si>
    <t>sRA429</t>
  </si>
  <si>
    <t>sRA430</t>
  </si>
  <si>
    <t>sRA431</t>
  </si>
  <si>
    <t>sRA432</t>
  </si>
  <si>
    <t>sRA433</t>
  </si>
  <si>
    <t>sRA434</t>
  </si>
  <si>
    <t>sRA435</t>
  </si>
  <si>
    <t>sRA436</t>
  </si>
  <si>
    <t>sRA437</t>
  </si>
  <si>
    <t>sHF171.4 (Ctrl)</t>
  </si>
  <si>
    <t>sRA64</t>
  </si>
  <si>
    <t>sRA65</t>
  </si>
  <si>
    <t>sRA66</t>
  </si>
  <si>
    <t>sRA67</t>
  </si>
  <si>
    <t>sRA68</t>
  </si>
  <si>
    <t>sRA69</t>
  </si>
  <si>
    <t>sRA70</t>
  </si>
  <si>
    <t>sRA71</t>
  </si>
  <si>
    <t>sRA72</t>
  </si>
  <si>
    <t>GQ67_00345</t>
  </si>
  <si>
    <t>PAS_chr2-1_0308</t>
  </si>
  <si>
    <t>ZWF1</t>
  </si>
  <si>
    <t>sRA73</t>
  </si>
  <si>
    <t>GQ67_02967</t>
  </si>
  <si>
    <t>PAS_chr1-1_0381</t>
  </si>
  <si>
    <t>HAC1-splice</t>
  </si>
  <si>
    <t>sRA74</t>
  </si>
  <si>
    <t>CIN5</t>
  </si>
  <si>
    <t>KAR4</t>
  </si>
  <si>
    <t>ZAP1</t>
  </si>
  <si>
    <t>CUP9</t>
  </si>
  <si>
    <t>GZF3</t>
  </si>
  <si>
    <t>SPT3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</si>
</sst>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92">
    <xf numFmtId="0" fontId="0" fillId="0" borderId="0" xfId="0"/>
    <xf numFmtId="0" fontId="1" fillId="4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vertical="center"/>
    </xf>
    <xf numFmtId="0" fontId="1" fillId="10" borderId="1" xfId="0" applyFont="1" applyFill="1" applyBorder="1" applyAlignment="1">
      <alignment vertical="center"/>
    </xf>
    <xf numFmtId="0" fontId="0" fillId="10" borderId="3" xfId="0" applyFill="1" applyBorder="1"/>
    <xf numFmtId="2" fontId="0" fillId="0" borderId="7" xfId="0" applyNumberFormat="1" applyBorder="1"/>
    <xf numFmtId="2" fontId="0" fillId="0" borderId="1" xfId="0" applyNumberFormat="1" applyBorder="1"/>
    <xf numFmtId="2" fontId="0" fillId="0" borderId="9" xfId="0" applyNumberFormat="1" applyBorder="1"/>
    <xf numFmtId="0" fontId="0" fillId="0" borderId="1" xfId="0" applyBorder="1"/>
    <xf numFmtId="0" fontId="0" fillId="0" borderId="5" xfId="0" applyBorder="1"/>
    <xf numFmtId="0" fontId="0" fillId="12" borderId="1" xfId="0" applyFill="1" applyBorder="1"/>
    <xf numFmtId="0" fontId="0" fillId="0" borderId="3" xfId="0" applyBorder="1"/>
    <xf numFmtId="0" fontId="4" fillId="0" borderId="1" xfId="0" applyFont="1" applyBorder="1"/>
    <xf numFmtId="0" fontId="0" fillId="0" borderId="16" xfId="0" applyBorder="1"/>
    <xf numFmtId="0" fontId="1" fillId="4" borderId="16" xfId="0" applyFont="1" applyFill="1" applyBorder="1" applyAlignment="1">
      <alignment vertical="center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14" xfId="0" applyBorder="1"/>
    <xf numFmtId="0" fontId="0" fillId="0" borderId="11" xfId="0" applyBorder="1"/>
    <xf numFmtId="0" fontId="0" fillId="0" borderId="12" xfId="0" applyBorder="1"/>
    <xf numFmtId="0" fontId="0" fillId="0" borderId="20" xfId="0" applyBorder="1"/>
    <xf numFmtId="0" fontId="0" fillId="0" borderId="21" xfId="0" applyBorder="1"/>
    <xf numFmtId="0" fontId="0" fillId="0" borderId="7" xfId="0" applyBorder="1"/>
    <xf numFmtId="0" fontId="0" fillId="0" borderId="8" xfId="0" applyBorder="1"/>
    <xf numFmtId="0" fontId="0" fillId="0" borderId="22" xfId="0" applyBorder="1"/>
    <xf numFmtId="2" fontId="0" fillId="0" borderId="12" xfId="0" applyNumberFormat="1" applyBorder="1"/>
    <xf numFmtId="0" fontId="1" fillId="3" borderId="20" xfId="0" applyFont="1" applyFill="1" applyBorder="1" applyAlignment="1">
      <alignment vertical="center"/>
    </xf>
    <xf numFmtId="0" fontId="1" fillId="5" borderId="21" xfId="0" applyFont="1" applyFill="1" applyBorder="1" applyAlignment="1">
      <alignment vertical="center"/>
    </xf>
    <xf numFmtId="0" fontId="1" fillId="3" borderId="7" xfId="0" applyFont="1" applyFill="1" applyBorder="1" applyAlignment="1">
      <alignment vertical="center"/>
    </xf>
    <xf numFmtId="0" fontId="1" fillId="5" borderId="3" xfId="0" applyFont="1" applyFill="1" applyBorder="1" applyAlignment="1">
      <alignment vertical="center"/>
    </xf>
    <xf numFmtId="0" fontId="1" fillId="6" borderId="7" xfId="0" applyFont="1" applyFill="1" applyBorder="1" applyAlignment="1">
      <alignment vertical="center"/>
    </xf>
    <xf numFmtId="0" fontId="1" fillId="8" borderId="3" xfId="0" applyFont="1" applyFill="1" applyBorder="1" applyAlignment="1">
      <alignment vertical="center"/>
    </xf>
    <xf numFmtId="0" fontId="1" fillId="9" borderId="7" xfId="0" applyFont="1" applyFill="1" applyBorder="1" applyAlignment="1">
      <alignment vertical="center"/>
    </xf>
    <xf numFmtId="0" fontId="1" fillId="11" borderId="3" xfId="0" applyFont="1" applyFill="1" applyBorder="1" applyAlignment="1">
      <alignment vertical="center"/>
    </xf>
    <xf numFmtId="2" fontId="0" fillId="0" borderId="3" xfId="0" applyNumberFormat="1" applyBorder="1"/>
    <xf numFmtId="0" fontId="0" fillId="12" borderId="7" xfId="0" applyFill="1" applyBorder="1"/>
    <xf numFmtId="0" fontId="0" fillId="12" borderId="3" xfId="0" applyFill="1" applyBorder="1"/>
    <xf numFmtId="0" fontId="1" fillId="5" borderId="11" xfId="0" applyFont="1" applyFill="1" applyBorder="1" applyAlignment="1">
      <alignment vertical="center"/>
    </xf>
    <xf numFmtId="0" fontId="1" fillId="5" borderId="12" xfId="0" applyFont="1" applyFill="1" applyBorder="1" applyAlignment="1">
      <alignment vertical="center"/>
    </xf>
    <xf numFmtId="0" fontId="1" fillId="8" borderId="12" xfId="0" applyFont="1" applyFill="1" applyBorder="1" applyAlignment="1">
      <alignment vertical="center"/>
    </xf>
    <xf numFmtId="0" fontId="1" fillId="11" borderId="12" xfId="0" applyFont="1" applyFill="1" applyBorder="1" applyAlignment="1">
      <alignment vertical="center"/>
    </xf>
    <xf numFmtId="0" fontId="0" fillId="12" borderId="12" xfId="0" applyFill="1" applyBorder="1"/>
    <xf numFmtId="0" fontId="0" fillId="0" borderId="23" xfId="0" applyBorder="1"/>
    <xf numFmtId="0" fontId="1" fillId="3" borderId="24" xfId="0" applyFont="1" applyFill="1" applyBorder="1" applyAlignment="1">
      <alignment vertical="center"/>
    </xf>
    <xf numFmtId="0" fontId="1" fillId="3" borderId="9" xfId="0" applyFont="1" applyFill="1" applyBorder="1" applyAlignment="1">
      <alignment vertical="center"/>
    </xf>
    <xf numFmtId="0" fontId="1" fillId="6" borderId="9" xfId="0" applyFont="1" applyFill="1" applyBorder="1" applyAlignment="1">
      <alignment vertical="center"/>
    </xf>
    <xf numFmtId="0" fontId="1" fillId="9" borderId="9" xfId="0" applyFont="1" applyFill="1" applyBorder="1" applyAlignment="1">
      <alignment vertical="center"/>
    </xf>
    <xf numFmtId="0" fontId="0" fillId="0" borderId="9" xfId="0" applyBorder="1"/>
    <xf numFmtId="0" fontId="0" fillId="12" borderId="9" xfId="0" applyFill="1" applyBorder="1"/>
    <xf numFmtId="0" fontId="0" fillId="0" borderId="10" xfId="0" applyBorder="1"/>
    <xf numFmtId="0" fontId="0" fillId="0" borderId="24" xfId="0" applyBorder="1"/>
    <xf numFmtId="0" fontId="1" fillId="3" borderId="21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0" fillId="3" borderId="3" xfId="0" applyFill="1" applyBorder="1" applyAlignment="1">
      <alignment vertical="center"/>
    </xf>
    <xf numFmtId="0" fontId="1" fillId="6" borderId="3" xfId="0" applyFont="1" applyFill="1" applyBorder="1" applyAlignment="1">
      <alignment vertical="center"/>
    </xf>
    <xf numFmtId="0" fontId="1" fillId="9" borderId="3" xfId="0" applyFont="1" applyFill="1" applyBorder="1" applyAlignment="1">
      <alignment vertical="center"/>
    </xf>
    <xf numFmtId="0" fontId="0" fillId="10" borderId="3" xfId="0" applyFill="1" applyBorder="1" applyAlignment="1">
      <alignment vertical="center" wrapText="1"/>
    </xf>
    <xf numFmtId="0" fontId="3" fillId="13" borderId="3" xfId="0" applyFont="1" applyFill="1" applyBorder="1"/>
    <xf numFmtId="0" fontId="0" fillId="13" borderId="3" xfId="0" applyFill="1" applyBorder="1"/>
    <xf numFmtId="0" fontId="3" fillId="0" borderId="3" xfId="0" applyFont="1" applyBorder="1"/>
    <xf numFmtId="0" fontId="0" fillId="3" borderId="3" xfId="0" applyFill="1" applyBorder="1"/>
    <xf numFmtId="0" fontId="0" fillId="14" borderId="3" xfId="0" applyFill="1" applyBorder="1"/>
    <xf numFmtId="0" fontId="0" fillId="6" borderId="3" xfId="0" applyFill="1" applyBorder="1"/>
    <xf numFmtId="0" fontId="0" fillId="9" borderId="3" xfId="0" applyFill="1" applyBorder="1"/>
    <xf numFmtId="0" fontId="2" fillId="2" borderId="3" xfId="1" applyBorder="1"/>
    <xf numFmtId="0" fontId="0" fillId="0" borderId="13" xfId="0" applyBorder="1"/>
    <xf numFmtId="0" fontId="0" fillId="0" borderId="15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4" fillId="0" borderId="7" xfId="0" applyFont="1" applyBorder="1"/>
    <xf numFmtId="0" fontId="4" fillId="0" borderId="3" xfId="0" applyFont="1" applyBorder="1"/>
    <xf numFmtId="0" fontId="4" fillId="0" borderId="8" xfId="0" applyFont="1" applyBorder="1"/>
    <xf numFmtId="0" fontId="4" fillId="0" borderId="5" xfId="0" applyFont="1" applyBorder="1"/>
    <xf numFmtId="0" fontId="4" fillId="0" borderId="22" xfId="0" applyFont="1" applyBorder="1"/>
    <xf numFmtId="0" fontId="0" fillId="0" borderId="0" xfId="0" applyBorder="1"/>
    <xf numFmtId="0" fontId="2" fillId="2" borderId="7" xfId="1" applyBorder="1"/>
    <xf numFmtId="0" fontId="4" fillId="0" borderId="9" xfId="0" applyFont="1" applyBorder="1"/>
    <xf numFmtId="0" fontId="4" fillId="0" borderId="12" xfId="0" applyFont="1" applyBorder="1"/>
    <xf numFmtId="0" fontId="1" fillId="6" borderId="21" xfId="0" applyFont="1" applyFill="1" applyBorder="1" applyAlignment="1">
      <alignment vertical="center"/>
    </xf>
    <xf numFmtId="0" fontId="1" fillId="6" borderId="20" xfId="0" applyFont="1" applyFill="1" applyBorder="1" applyAlignment="1">
      <alignment vertical="center"/>
    </xf>
    <xf numFmtId="0" fontId="1" fillId="7" borderId="16" xfId="0" applyFont="1" applyFill="1" applyBorder="1" applyAlignment="1">
      <alignment vertical="center"/>
    </xf>
    <xf numFmtId="0" fontId="1" fillId="8" borderId="21" xfId="0" applyFont="1" applyFill="1" applyBorder="1" applyAlignment="1">
      <alignment vertical="center"/>
    </xf>
    <xf numFmtId="0" fontId="1" fillId="6" borderId="24" xfId="0" applyFont="1" applyFill="1" applyBorder="1" applyAlignment="1">
      <alignment vertical="center"/>
    </xf>
    <xf numFmtId="0" fontId="1" fillId="9" borderId="6" xfId="0" applyFont="1" applyFill="1" applyBorder="1" applyAlignment="1">
      <alignment vertical="center"/>
    </xf>
    <xf numFmtId="0" fontId="1" fillId="9" borderId="28" xfId="0" applyFont="1" applyFill="1" applyBorder="1" applyAlignment="1">
      <alignment vertical="center"/>
    </xf>
    <xf numFmtId="0" fontId="1" fillId="10" borderId="4" xfId="0" applyFont="1" applyFill="1" applyBorder="1" applyAlignment="1">
      <alignment vertical="center"/>
    </xf>
    <xf numFmtId="0" fontId="1" fillId="10" borderId="29" xfId="0" applyFont="1" applyFill="1" applyBorder="1" applyAlignment="1">
      <alignment vertical="center"/>
    </xf>
    <xf numFmtId="0" fontId="1" fillId="8" borderId="11" xfId="0" applyFont="1" applyFill="1" applyBorder="1" applyAlignment="1">
      <alignment vertical="center"/>
    </xf>
    <xf numFmtId="0" fontId="1" fillId="11" borderId="2" xfId="0" applyFont="1" applyFill="1" applyBorder="1" applyAlignment="1">
      <alignment vertical="center"/>
    </xf>
    <xf numFmtId="0" fontId="1" fillId="11" borderId="30" xfId="0" applyFont="1" applyFill="1" applyBorder="1" applyAlignment="1">
      <alignment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7BDAB-7ED2-452E-AA56-6E49C4DF6093}">
  <dimension ref="A1:Z371"/>
  <sheetViews>
    <sheetView tabSelected="1" topLeftCell="A230" zoomScale="83" zoomScaleNormal="160" workbookViewId="0">
      <selection activeCell="Q247" sqref="Q247"/>
    </sheetView>
  </sheetViews>
  <sheetFormatPr defaultRowHeight="14.4" x14ac:dyDescent="0.3"/>
  <cols>
    <col min="1" max="1" width="17.88671875" bestFit="1" customWidth="1"/>
    <col min="2" max="2" width="11.88671875" bestFit="1" customWidth="1"/>
    <col min="4" max="4" width="14" bestFit="1" customWidth="1"/>
    <col min="5" max="5" width="11.44140625" bestFit="1" customWidth="1"/>
    <col min="6" max="7" width="11.44140625" customWidth="1"/>
    <col min="8" max="13" width="10.33203125" bestFit="1" customWidth="1"/>
    <col min="14" max="16" width="10.33203125" customWidth="1"/>
    <col min="17" max="19" width="6.6640625" bestFit="1" customWidth="1"/>
  </cols>
  <sheetData>
    <row r="1" spans="1:26" ht="15" thickBot="1" x14ac:dyDescent="0.35">
      <c r="A1" s="67" t="s">
        <v>0</v>
      </c>
      <c r="B1" s="15" t="s">
        <v>1</v>
      </c>
      <c r="C1" s="16" t="s">
        <v>2</v>
      </c>
      <c r="D1" s="17" t="s">
        <v>3</v>
      </c>
      <c r="E1" s="15" t="s">
        <v>4</v>
      </c>
      <c r="F1" s="16" t="s">
        <v>5</v>
      </c>
      <c r="G1" s="17" t="s">
        <v>6</v>
      </c>
      <c r="H1" s="15" t="s">
        <v>7</v>
      </c>
      <c r="I1" s="16" t="s">
        <v>8</v>
      </c>
      <c r="J1" s="17" t="s">
        <v>9</v>
      </c>
      <c r="K1" s="15" t="s">
        <v>10</v>
      </c>
      <c r="L1" s="16" t="s">
        <v>11</v>
      </c>
      <c r="M1" s="17" t="s">
        <v>12</v>
      </c>
      <c r="N1" s="15" t="s">
        <v>13</v>
      </c>
      <c r="O1" s="16" t="s">
        <v>14</v>
      </c>
      <c r="P1" s="17" t="s">
        <v>15</v>
      </c>
      <c r="Q1" s="43" t="s">
        <v>16</v>
      </c>
      <c r="R1" s="16" t="s">
        <v>17</v>
      </c>
      <c r="S1" s="18" t="s">
        <v>18</v>
      </c>
      <c r="T1" s="67" t="s">
        <v>19</v>
      </c>
      <c r="U1" s="15" t="s">
        <v>20</v>
      </c>
      <c r="V1" s="16" t="s">
        <v>21</v>
      </c>
      <c r="W1" s="17" t="s">
        <v>22</v>
      </c>
      <c r="X1" s="15" t="s">
        <v>23</v>
      </c>
      <c r="Y1" s="16" t="s">
        <v>24</v>
      </c>
      <c r="Z1" s="17" t="s">
        <v>25</v>
      </c>
    </row>
    <row r="2" spans="1:26" x14ac:dyDescent="0.3">
      <c r="A2" s="68" t="s">
        <v>26</v>
      </c>
      <c r="B2" s="22" t="s">
        <v>27</v>
      </c>
      <c r="C2" s="13" t="s">
        <v>28</v>
      </c>
      <c r="D2" s="21" t="s">
        <v>29</v>
      </c>
      <c r="E2" s="21" t="s">
        <v>30</v>
      </c>
      <c r="F2" s="13">
        <v>2</v>
      </c>
      <c r="G2" s="80" t="s">
        <v>31</v>
      </c>
      <c r="H2" s="81">
        <v>6.4862499013543129</v>
      </c>
      <c r="I2" s="82">
        <v>4.0087500587105751</v>
      </c>
      <c r="J2" s="83">
        <v>5.4550000466406345</v>
      </c>
      <c r="K2" s="81">
        <v>13.917499966919422</v>
      </c>
      <c r="L2" s="82">
        <v>10.553750023245811</v>
      </c>
      <c r="M2" s="83">
        <v>12.801250070333481</v>
      </c>
      <c r="N2" s="21" t="s">
        <v>32</v>
      </c>
      <c r="O2" s="13" t="s">
        <v>32</v>
      </c>
      <c r="P2" s="22" t="s">
        <v>32</v>
      </c>
      <c r="Q2" s="84">
        <v>42.974516516516502</v>
      </c>
      <c r="R2" s="82">
        <v>45.760425225225198</v>
      </c>
      <c r="S2" s="89">
        <v>41.5084804804805</v>
      </c>
      <c r="T2" s="68">
        <f t="shared" ref="T2:T63" si="0">IF(N2="NA",48,72)</f>
        <v>48</v>
      </c>
      <c r="U2" s="21">
        <f t="shared" ref="U2:U63" si="1">Q2/K2/(T2-24)</f>
        <v>0.12865851331855235</v>
      </c>
      <c r="V2" s="13">
        <f t="shared" ref="V2:V63" si="2">R2/L2/(T2-24)</f>
        <v>0.18066416015015499</v>
      </c>
      <c r="W2" s="22">
        <f t="shared" ref="W2:W63" si="3">S2/M2/(T2-24)</f>
        <v>0.13510555691964274</v>
      </c>
      <c r="X2" s="21">
        <f>U2/AVERAGE($U$23:$W$23)</f>
        <v>1.8004983273173412</v>
      </c>
      <c r="Y2" s="21">
        <f>V2/AVERAGE($U$23:$W$23)</f>
        <v>2.5282860011848176</v>
      </c>
      <c r="Z2" s="21">
        <f>W2/AVERAGE($U$23:$W$23)</f>
        <v>1.8907208156742883</v>
      </c>
    </row>
    <row r="3" spans="1:26" x14ac:dyDescent="0.3">
      <c r="A3" s="69" t="s">
        <v>26</v>
      </c>
      <c r="B3" s="11" t="s">
        <v>33</v>
      </c>
      <c r="C3" s="8" t="s">
        <v>34</v>
      </c>
      <c r="D3" s="23" t="s">
        <v>35</v>
      </c>
      <c r="E3" s="23" t="s">
        <v>30</v>
      </c>
      <c r="F3" s="8">
        <v>2</v>
      </c>
      <c r="G3" s="55" t="s">
        <v>36</v>
      </c>
      <c r="H3" s="31">
        <v>4.3350000865757465</v>
      </c>
      <c r="I3" s="2">
        <v>4.6512499451637268</v>
      </c>
      <c r="J3" s="32">
        <v>5.7137497700750828</v>
      </c>
      <c r="K3" s="31">
        <v>9.1249998658895493</v>
      </c>
      <c r="L3" s="2">
        <v>9.9550001323223114</v>
      </c>
      <c r="M3" s="32">
        <v>10.522499866783619</v>
      </c>
      <c r="N3" s="23" t="s">
        <v>32</v>
      </c>
      <c r="O3" s="8" t="s">
        <v>32</v>
      </c>
      <c r="P3" s="11" t="s">
        <v>32</v>
      </c>
      <c r="Q3" s="46">
        <v>30.578940540540501</v>
      </c>
      <c r="R3" s="2">
        <v>27.267010210210199</v>
      </c>
      <c r="S3" s="40">
        <v>30.620874474474501</v>
      </c>
      <c r="T3" s="69">
        <f t="shared" si="0"/>
        <v>48</v>
      </c>
      <c r="U3" s="23">
        <f t="shared" si="1"/>
        <v>0.13962986753406523</v>
      </c>
      <c r="V3" s="8">
        <f t="shared" si="2"/>
        <v>0.11412610852074279</v>
      </c>
      <c r="W3" s="11">
        <f t="shared" si="3"/>
        <v>0.12125158336160304</v>
      </c>
      <c r="X3" s="21">
        <f>U3/AVERAGE($U$23:$W$23)</f>
        <v>1.9540358150739987</v>
      </c>
      <c r="Y3" s="21">
        <f>V3/AVERAGE($U$23:$W$23)</f>
        <v>1.5971260835733931</v>
      </c>
      <c r="Z3" s="21">
        <f>W3/AVERAGE($U$23:$W$23)</f>
        <v>1.6968428081133828</v>
      </c>
    </row>
    <row r="4" spans="1:26" x14ac:dyDescent="0.3">
      <c r="A4" s="69" t="s">
        <v>26</v>
      </c>
      <c r="B4" s="11" t="s">
        <v>37</v>
      </c>
      <c r="C4" s="8" t="s">
        <v>38</v>
      </c>
      <c r="D4" s="23" t="s">
        <v>39</v>
      </c>
      <c r="E4" s="23" t="s">
        <v>30</v>
      </c>
      <c r="F4" s="8">
        <v>2</v>
      </c>
      <c r="G4" s="55" t="s">
        <v>40</v>
      </c>
      <c r="H4" s="31">
        <v>3.3537500537931919</v>
      </c>
      <c r="I4" s="2">
        <v>3.7137500010430813</v>
      </c>
      <c r="J4" s="32">
        <v>5.2887499332427979</v>
      </c>
      <c r="K4" s="31">
        <v>10.29874999076128</v>
      </c>
      <c r="L4" s="2">
        <v>11.562499962747097</v>
      </c>
      <c r="M4" s="32">
        <v>11.261250078678131</v>
      </c>
      <c r="N4" s="23" t="s">
        <v>32</v>
      </c>
      <c r="O4" s="8" t="s">
        <v>32</v>
      </c>
      <c r="P4" s="11" t="s">
        <v>32</v>
      </c>
      <c r="Q4" s="46">
        <v>21.477696096096096</v>
      </c>
      <c r="R4" s="2">
        <v>20.694418018018016</v>
      </c>
      <c r="S4" s="40">
        <v>23.789279279279278</v>
      </c>
      <c r="T4" s="69">
        <f t="shared" si="0"/>
        <v>48</v>
      </c>
      <c r="U4" s="23">
        <f t="shared" si="1"/>
        <v>8.6894429402286422E-2</v>
      </c>
      <c r="V4" s="8">
        <f t="shared" si="2"/>
        <v>7.4574479584478548E-2</v>
      </c>
      <c r="W4" s="11">
        <f t="shared" si="3"/>
        <v>8.8020420738789004E-2</v>
      </c>
      <c r="X4" s="21">
        <f>U4/AVERAGE($U$23:$W$23)</f>
        <v>1.2160351519424186</v>
      </c>
      <c r="Y4" s="21">
        <f>V4/AVERAGE($U$23:$W$23)</f>
        <v>1.0436248817827209</v>
      </c>
      <c r="Z4" s="21">
        <f>W4/AVERAGE($U$23:$W$23)</f>
        <v>1.2317927218509648</v>
      </c>
    </row>
    <row r="5" spans="1:26" x14ac:dyDescent="0.3">
      <c r="A5" s="69" t="s">
        <v>26</v>
      </c>
      <c r="B5" s="11" t="s">
        <v>41</v>
      </c>
      <c r="C5" s="8" t="s">
        <v>42</v>
      </c>
      <c r="D5" s="23" t="s">
        <v>43</v>
      </c>
      <c r="E5" s="23" t="s">
        <v>30</v>
      </c>
      <c r="F5" s="8">
        <v>2</v>
      </c>
      <c r="G5" s="55" t="s">
        <v>44</v>
      </c>
      <c r="H5" s="31">
        <v>2.96249995008111</v>
      </c>
      <c r="I5" s="2">
        <v>5.6762499734759331</v>
      </c>
      <c r="J5" s="32">
        <v>4.2325000278651714</v>
      </c>
      <c r="K5" s="31">
        <v>10.525000095367432</v>
      </c>
      <c r="L5" s="2">
        <v>9.3037499114871025</v>
      </c>
      <c r="M5" s="32">
        <v>9.1100001707673073</v>
      </c>
      <c r="N5" s="23" t="s">
        <v>32</v>
      </c>
      <c r="O5" s="8" t="s">
        <v>32</v>
      </c>
      <c r="P5" s="11" t="s">
        <v>32</v>
      </c>
      <c r="Q5" s="46">
        <v>14.498610210210211</v>
      </c>
      <c r="R5" s="2">
        <v>11.452147747747746</v>
      </c>
      <c r="S5" s="40">
        <v>10.389296096096098</v>
      </c>
      <c r="T5" s="69">
        <f t="shared" si="0"/>
        <v>48</v>
      </c>
      <c r="U5" s="23">
        <f t="shared" si="1"/>
        <v>5.7397506250347369E-2</v>
      </c>
      <c r="V5" s="8">
        <f t="shared" si="2"/>
        <v>5.1288225431948643E-2</v>
      </c>
      <c r="W5" s="11">
        <f t="shared" si="3"/>
        <v>4.7517818795043631E-2</v>
      </c>
      <c r="X5" s="21">
        <f>U5/AVERAGE($U$23:$W$23)</f>
        <v>0.80324349574957365</v>
      </c>
      <c r="Y5" s="21">
        <f>V5/AVERAGE($U$23:$W$23)</f>
        <v>0.71774779390352506</v>
      </c>
      <c r="Z5" s="21">
        <f>W5/AVERAGE($U$23:$W$23)</f>
        <v>0.66498322615008465</v>
      </c>
    </row>
    <row r="6" spans="1:26" x14ac:dyDescent="0.3">
      <c r="A6" s="69" t="s">
        <v>26</v>
      </c>
      <c r="B6" s="11" t="s">
        <v>45</v>
      </c>
      <c r="C6" s="8" t="s">
        <v>46</v>
      </c>
      <c r="D6" s="23" t="s">
        <v>47</v>
      </c>
      <c r="E6" s="23" t="s">
        <v>30</v>
      </c>
      <c r="F6" s="8">
        <v>2</v>
      </c>
      <c r="G6" s="55" t="s">
        <v>48</v>
      </c>
      <c r="H6" s="31">
        <v>4.1125000454485416</v>
      </c>
      <c r="I6" s="2">
        <v>4.1025000624358654</v>
      </c>
      <c r="J6" s="32">
        <v>7.1262499317526817</v>
      </c>
      <c r="K6" s="31">
        <v>10.212500020861626</v>
      </c>
      <c r="L6" s="2">
        <v>11.453750170767307</v>
      </c>
      <c r="M6" s="32">
        <v>10.953749902546406</v>
      </c>
      <c r="N6" s="23" t="s">
        <v>32</v>
      </c>
      <c r="O6" s="8" t="s">
        <v>32</v>
      </c>
      <c r="P6" s="11" t="s">
        <v>32</v>
      </c>
      <c r="Q6" s="46">
        <v>50.762227027027002</v>
      </c>
      <c r="R6" s="2">
        <v>50.756551351351298</v>
      </c>
      <c r="S6" s="40">
        <v>54.685800600600601</v>
      </c>
      <c r="T6" s="69">
        <f t="shared" si="0"/>
        <v>48</v>
      </c>
      <c r="U6" s="23">
        <f t="shared" si="1"/>
        <v>0.20710822898136375</v>
      </c>
      <c r="V6" s="8">
        <f t="shared" si="2"/>
        <v>0.1846431321423371</v>
      </c>
      <c r="W6" s="11">
        <f t="shared" si="3"/>
        <v>0.20801780625786673</v>
      </c>
      <c r="X6" s="21">
        <f>U6/AVERAGE($U$23:$W$23)</f>
        <v>2.8983548016859526</v>
      </c>
      <c r="Y6" s="21">
        <f>V6/AVERAGE($U$23:$W$23)</f>
        <v>2.5839693153439698</v>
      </c>
      <c r="Z6" s="21">
        <f>W6/AVERAGE($U$23:$W$23)</f>
        <v>2.9110837872980797</v>
      </c>
    </row>
    <row r="7" spans="1:26" x14ac:dyDescent="0.3">
      <c r="A7" s="69" t="s">
        <v>26</v>
      </c>
      <c r="B7" s="11" t="s">
        <v>49</v>
      </c>
      <c r="C7" s="8" t="s">
        <v>50</v>
      </c>
      <c r="D7" s="23" t="s">
        <v>51</v>
      </c>
      <c r="E7" s="23" t="s">
        <v>30</v>
      </c>
      <c r="F7" s="8">
        <v>2</v>
      </c>
      <c r="G7" s="55" t="s">
        <v>52</v>
      </c>
      <c r="H7" s="31">
        <v>3.7612500600516796</v>
      </c>
      <c r="I7" s="2">
        <v>3.6287500523030758</v>
      </c>
      <c r="J7" s="32">
        <v>6.8374999798834324</v>
      </c>
      <c r="K7" s="31">
        <v>9.636249952018261</v>
      </c>
      <c r="L7" s="2">
        <v>10.18499992787838</v>
      </c>
      <c r="M7" s="32">
        <v>13.443750143051147</v>
      </c>
      <c r="N7" s="23" t="s">
        <v>32</v>
      </c>
      <c r="O7" s="8" t="s">
        <v>32</v>
      </c>
      <c r="P7" s="11" t="s">
        <v>32</v>
      </c>
      <c r="Q7" s="46">
        <v>28.921215615615601</v>
      </c>
      <c r="R7" s="2">
        <v>27.517923123123101</v>
      </c>
      <c r="S7" s="40">
        <v>23.738222222222227</v>
      </c>
      <c r="T7" s="69">
        <f t="shared" si="0"/>
        <v>48</v>
      </c>
      <c r="U7" s="23">
        <f t="shared" si="1"/>
        <v>0.12505390132582214</v>
      </c>
      <c r="V7" s="8">
        <f t="shared" si="2"/>
        <v>0.11257536948937136</v>
      </c>
      <c r="W7" s="11">
        <f t="shared" si="3"/>
        <v>7.3572669981808489E-2</v>
      </c>
      <c r="X7" s="21">
        <f>U7/AVERAGE($U$23:$W$23)</f>
        <v>1.7500539556536518</v>
      </c>
      <c r="Y7" s="21">
        <f>V7/AVERAGE($U$23:$W$23)</f>
        <v>1.5754244257501222</v>
      </c>
      <c r="Z7" s="21">
        <f>W7/AVERAGE($U$23:$W$23)</f>
        <v>1.0296051603715783</v>
      </c>
    </row>
    <row r="8" spans="1:26" x14ac:dyDescent="0.3">
      <c r="A8" s="69" t="s">
        <v>26</v>
      </c>
      <c r="B8" s="11" t="s">
        <v>53</v>
      </c>
      <c r="C8" s="8" t="s">
        <v>54</v>
      </c>
      <c r="D8" s="23" t="s">
        <v>53</v>
      </c>
      <c r="E8" s="23" t="s">
        <v>30</v>
      </c>
      <c r="F8" s="8">
        <v>2</v>
      </c>
      <c r="G8" s="55" t="s">
        <v>55</v>
      </c>
      <c r="H8" s="31">
        <v>5.3199999965727329</v>
      </c>
      <c r="I8" s="2">
        <v>4.5824999921023846</v>
      </c>
      <c r="J8" s="32">
        <v>6.1950000934302807</v>
      </c>
      <c r="K8" s="31">
        <v>11.181250214576721</v>
      </c>
      <c r="L8" s="2">
        <v>11.458749882876873</v>
      </c>
      <c r="M8" s="32">
        <v>12.535000033676624</v>
      </c>
      <c r="N8" s="23" t="s">
        <v>32</v>
      </c>
      <c r="O8" s="8" t="s">
        <v>32</v>
      </c>
      <c r="P8" s="11" t="s">
        <v>32</v>
      </c>
      <c r="Q8" s="46">
        <v>31.034439639639601</v>
      </c>
      <c r="R8" s="2">
        <v>35.9497117117117</v>
      </c>
      <c r="S8" s="40">
        <v>34.387437837837801</v>
      </c>
      <c r="T8" s="69">
        <f t="shared" si="0"/>
        <v>48</v>
      </c>
      <c r="U8" s="23">
        <f t="shared" si="1"/>
        <v>0.11564911139953431</v>
      </c>
      <c r="V8" s="8">
        <f t="shared" si="2"/>
        <v>0.13072147223433286</v>
      </c>
      <c r="W8" s="11">
        <f t="shared" si="3"/>
        <v>0.11430473921503874</v>
      </c>
      <c r="X8" s="21">
        <f>U8/AVERAGE($U$23:$W$23)</f>
        <v>1.6184395906630806</v>
      </c>
      <c r="Y8" s="21">
        <f>V8/AVERAGE($U$23:$W$23)</f>
        <v>1.8293681936120856</v>
      </c>
      <c r="Z8" s="21">
        <f>W8/AVERAGE($U$23:$W$23)</f>
        <v>1.5996259124458989</v>
      </c>
    </row>
    <row r="9" spans="1:26" x14ac:dyDescent="0.3">
      <c r="A9" s="69" t="s">
        <v>26</v>
      </c>
      <c r="B9" s="11" t="s">
        <v>56</v>
      </c>
      <c r="C9" s="8" t="s">
        <v>57</v>
      </c>
      <c r="D9" s="23" t="s">
        <v>58</v>
      </c>
      <c r="E9" s="23" t="s">
        <v>30</v>
      </c>
      <c r="F9" s="8">
        <v>2</v>
      </c>
      <c r="G9" s="55" t="s">
        <v>59</v>
      </c>
      <c r="H9" s="31">
        <v>5.2000000141561031</v>
      </c>
      <c r="I9" s="2">
        <v>5.3212500177323818</v>
      </c>
      <c r="J9" s="32">
        <v>7.4924999848008156</v>
      </c>
      <c r="K9" s="31">
        <v>11.006249859929085</v>
      </c>
      <c r="L9" s="2">
        <v>10.856249928474426</v>
      </c>
      <c r="M9" s="32">
        <v>10.974999889731407</v>
      </c>
      <c r="N9" s="23" t="s">
        <v>32</v>
      </c>
      <c r="O9" s="8" t="s">
        <v>32</v>
      </c>
      <c r="P9" s="11" t="s">
        <v>32</v>
      </c>
      <c r="Q9" s="46">
        <v>26.571382582582601</v>
      </c>
      <c r="R9" s="2">
        <v>28.706572972972999</v>
      </c>
      <c r="S9" s="40">
        <v>29.2654654654655</v>
      </c>
      <c r="T9" s="69">
        <f t="shared" si="0"/>
        <v>48</v>
      </c>
      <c r="U9" s="23">
        <f t="shared" si="1"/>
        <v>0.10059202317146698</v>
      </c>
      <c r="V9" s="8">
        <f t="shared" si="2"/>
        <v>0.11017683040531208</v>
      </c>
      <c r="W9" s="11">
        <f t="shared" si="3"/>
        <v>0.11110655185840172</v>
      </c>
      <c r="X9" s="21">
        <f>U9/AVERAGE($U$23:$W$23)</f>
        <v>1.4077247186376194</v>
      </c>
      <c r="Y9" s="21">
        <f>V9/AVERAGE($U$23:$W$23)</f>
        <v>1.5418583173173173</v>
      </c>
      <c r="Z9" s="21">
        <f>W9/AVERAGE($U$23:$W$23)</f>
        <v>1.5548692085361073</v>
      </c>
    </row>
    <row r="10" spans="1:26" x14ac:dyDescent="0.3">
      <c r="A10" s="69" t="s">
        <v>26</v>
      </c>
      <c r="B10" s="11" t="s">
        <v>60</v>
      </c>
      <c r="C10" s="8" t="s">
        <v>61</v>
      </c>
      <c r="D10" s="23" t="s">
        <v>62</v>
      </c>
      <c r="E10" s="23" t="s">
        <v>30</v>
      </c>
      <c r="F10" s="8">
        <v>2</v>
      </c>
      <c r="G10" s="55" t="s">
        <v>63</v>
      </c>
      <c r="H10" s="31">
        <v>4.3562500737607479</v>
      </c>
      <c r="I10" s="2">
        <v>7.8699998557567596</v>
      </c>
      <c r="J10" s="32">
        <v>7.2749999351799488</v>
      </c>
      <c r="K10" s="31">
        <v>13.846249878406525</v>
      </c>
      <c r="L10" s="2">
        <v>11.074999906122684</v>
      </c>
      <c r="M10" s="32">
        <v>10.678750090301037</v>
      </c>
      <c r="N10" s="23" t="s">
        <v>32</v>
      </c>
      <c r="O10" s="8" t="s">
        <v>32</v>
      </c>
      <c r="P10" s="11" t="s">
        <v>32</v>
      </c>
      <c r="Q10" s="46">
        <v>27.1081345345345</v>
      </c>
      <c r="R10" s="2">
        <v>33.104723123123101</v>
      </c>
      <c r="S10" s="40">
        <v>31.366948948948998</v>
      </c>
      <c r="T10" s="69">
        <f t="shared" si="0"/>
        <v>48</v>
      </c>
      <c r="U10" s="23">
        <f t="shared" si="1"/>
        <v>8.157483907372555E-2</v>
      </c>
      <c r="V10" s="8">
        <f t="shared" si="2"/>
        <v>0.12454749211337668</v>
      </c>
      <c r="W10" s="11">
        <f t="shared" si="3"/>
        <v>0.12238850007298606</v>
      </c>
      <c r="X10" s="21">
        <f>U10/AVERAGE($U$23:$W$23)</f>
        <v>1.141590692407332</v>
      </c>
      <c r="Y10" s="21">
        <f>V10/AVERAGE($U$23:$W$23)</f>
        <v>1.7429670640331294</v>
      </c>
      <c r="Z10" s="21">
        <f>W10/AVERAGE($U$23:$W$23)</f>
        <v>1.7127532720566117</v>
      </c>
    </row>
    <row r="11" spans="1:26" x14ac:dyDescent="0.3">
      <c r="A11" s="69" t="s">
        <v>26</v>
      </c>
      <c r="B11" s="11" t="s">
        <v>64</v>
      </c>
      <c r="C11" s="8" t="s">
        <v>65</v>
      </c>
      <c r="D11" s="23" t="s">
        <v>64</v>
      </c>
      <c r="E11" s="23" t="s">
        <v>30</v>
      </c>
      <c r="F11" s="8">
        <v>2</v>
      </c>
      <c r="G11" s="55" t="s">
        <v>66</v>
      </c>
      <c r="H11" s="31">
        <v>4.3562499806284904</v>
      </c>
      <c r="I11" s="2">
        <v>5.7687499560415745</v>
      </c>
      <c r="J11" s="32">
        <v>7.4149999767541885</v>
      </c>
      <c r="K11" s="31">
        <v>10.632500052452087</v>
      </c>
      <c r="L11" s="2">
        <v>11.545000039041042</v>
      </c>
      <c r="M11" s="32">
        <v>9.3462500721216202</v>
      </c>
      <c r="N11" s="23" t="s">
        <v>32</v>
      </c>
      <c r="O11" s="8" t="s">
        <v>32</v>
      </c>
      <c r="P11" s="11" t="s">
        <v>32</v>
      </c>
      <c r="Q11" s="46">
        <v>30.355788588588588</v>
      </c>
      <c r="R11" s="2">
        <v>33.878372372372375</v>
      </c>
      <c r="S11" s="40">
        <v>32.110552552552555</v>
      </c>
      <c r="T11" s="69">
        <f t="shared" si="0"/>
        <v>48</v>
      </c>
      <c r="U11" s="23">
        <f t="shared" si="1"/>
        <v>0.11895833701245345</v>
      </c>
      <c r="V11" s="8">
        <f t="shared" si="2"/>
        <v>0.12226928056087732</v>
      </c>
      <c r="W11" s="11">
        <f t="shared" si="3"/>
        <v>0.14315256700444506</v>
      </c>
      <c r="X11" s="21">
        <f>U11/AVERAGE($U$23:$W$23)</f>
        <v>1.6647502080259928</v>
      </c>
      <c r="Y11" s="21">
        <f>V11/AVERAGE($U$23:$W$23)</f>
        <v>1.7110848668605723</v>
      </c>
      <c r="Z11" s="21">
        <f>W11/AVERAGE($U$23:$W$23)</f>
        <v>2.0033338703714088</v>
      </c>
    </row>
    <row r="12" spans="1:26" x14ac:dyDescent="0.3">
      <c r="A12" s="69" t="s">
        <v>26</v>
      </c>
      <c r="B12" s="11" t="s">
        <v>67</v>
      </c>
      <c r="C12" s="8" t="s">
        <v>68</v>
      </c>
      <c r="D12" s="23" t="s">
        <v>69</v>
      </c>
      <c r="E12" s="23" t="s">
        <v>30</v>
      </c>
      <c r="F12" s="8">
        <v>2</v>
      </c>
      <c r="G12" s="55" t="s">
        <v>70</v>
      </c>
      <c r="H12" s="31">
        <v>3.9700000546872616</v>
      </c>
      <c r="I12" s="2">
        <v>6.4400000497698784</v>
      </c>
      <c r="J12" s="32">
        <v>6.8987498991191387</v>
      </c>
      <c r="K12" s="31">
        <v>10.187499970197678</v>
      </c>
      <c r="L12" s="2">
        <v>9.1225000098347664</v>
      </c>
      <c r="M12" s="32">
        <v>10.126249864697456</v>
      </c>
      <c r="N12" s="23" t="s">
        <v>32</v>
      </c>
      <c r="O12" s="8" t="s">
        <v>32</v>
      </c>
      <c r="P12" s="11" t="s">
        <v>32</v>
      </c>
      <c r="Q12" s="46">
        <v>18.621445045045046</v>
      </c>
      <c r="R12" s="2">
        <v>17.947760960960959</v>
      </c>
      <c r="S12" s="40">
        <v>18.87482042042042</v>
      </c>
      <c r="T12" s="69">
        <f t="shared" si="0"/>
        <v>48</v>
      </c>
      <c r="U12" s="23">
        <f t="shared" si="1"/>
        <v>7.6161329650388035E-2</v>
      </c>
      <c r="V12" s="8">
        <f t="shared" si="2"/>
        <v>8.1975705406101551E-2</v>
      </c>
      <c r="W12" s="11">
        <f t="shared" si="3"/>
        <v>7.7664570927941226E-2</v>
      </c>
      <c r="X12" s="21">
        <f>U12/AVERAGE($U$23:$W$23)</f>
        <v>1.0658318917634702</v>
      </c>
      <c r="Y12" s="21">
        <f>V12/AVERAGE($U$23:$W$23)</f>
        <v>1.1472005750517382</v>
      </c>
      <c r="Z12" s="21">
        <f>W12/AVERAGE($U$23:$W$23)</f>
        <v>1.0868688471578445</v>
      </c>
    </row>
    <row r="13" spans="1:26" x14ac:dyDescent="0.3">
      <c r="A13" s="69" t="s">
        <v>26</v>
      </c>
      <c r="B13" s="11" t="s">
        <v>71</v>
      </c>
      <c r="C13" s="8" t="s">
        <v>72</v>
      </c>
      <c r="D13" s="23" t="s">
        <v>73</v>
      </c>
      <c r="E13" s="23" t="s">
        <v>30</v>
      </c>
      <c r="F13" s="8">
        <v>2</v>
      </c>
      <c r="G13" s="55" t="s">
        <v>74</v>
      </c>
      <c r="H13" s="31">
        <v>5.5162499658763409</v>
      </c>
      <c r="I13" s="2">
        <v>8.0437498167157173</v>
      </c>
      <c r="J13" s="32">
        <v>15.474999789148569</v>
      </c>
      <c r="K13" s="31">
        <v>11.061250232160091</v>
      </c>
      <c r="L13" s="2">
        <v>9.6800001338124275</v>
      </c>
      <c r="M13" s="32">
        <v>9.7275000065565109</v>
      </c>
      <c r="N13" s="23" t="s">
        <v>32</v>
      </c>
      <c r="O13" s="8" t="s">
        <v>32</v>
      </c>
      <c r="P13" s="11" t="s">
        <v>32</v>
      </c>
      <c r="Q13" s="46">
        <v>35.231931531531501</v>
      </c>
      <c r="R13" s="2">
        <v>31.967429429429401</v>
      </c>
      <c r="S13" s="40">
        <v>31.882066066066098</v>
      </c>
      <c r="T13" s="69">
        <f t="shared" si="0"/>
        <v>48</v>
      </c>
      <c r="U13" s="23">
        <f t="shared" si="1"/>
        <v>0.13271530038069382</v>
      </c>
      <c r="V13" s="8">
        <f t="shared" si="2"/>
        <v>0.13760084791461999</v>
      </c>
      <c r="W13" s="11">
        <f t="shared" si="3"/>
        <v>0.13656329154706162</v>
      </c>
      <c r="X13" s="21">
        <f>U13/AVERAGE($U$23:$W$23)</f>
        <v>1.8572706164668622</v>
      </c>
      <c r="Y13" s="21">
        <f>V13/AVERAGE($U$23:$W$23)</f>
        <v>1.9256409087698978</v>
      </c>
      <c r="Z13" s="21">
        <f>W13/AVERAGE($U$23:$W$23)</f>
        <v>1.9111209329354115</v>
      </c>
    </row>
    <row r="14" spans="1:26" x14ac:dyDescent="0.3">
      <c r="A14" s="69" t="s">
        <v>26</v>
      </c>
      <c r="B14" s="11" t="s">
        <v>75</v>
      </c>
      <c r="C14" s="8" t="s">
        <v>76</v>
      </c>
      <c r="D14" s="23" t="s">
        <v>77</v>
      </c>
      <c r="E14" s="23" t="s">
        <v>30</v>
      </c>
      <c r="F14" s="8">
        <v>2</v>
      </c>
      <c r="G14" s="55" t="s">
        <v>78</v>
      </c>
      <c r="H14" s="31">
        <v>4.6824999153614044</v>
      </c>
      <c r="I14" s="2">
        <v>5.8125000447034836</v>
      </c>
      <c r="J14" s="32">
        <v>7.142499927431345</v>
      </c>
      <c r="K14" s="31">
        <v>14.103750139474869</v>
      </c>
      <c r="L14" s="2">
        <v>10.483749955892563</v>
      </c>
      <c r="M14" s="32">
        <v>12.586250156164169</v>
      </c>
      <c r="N14" s="23" t="s">
        <v>32</v>
      </c>
      <c r="O14" s="8" t="s">
        <v>32</v>
      </c>
      <c r="P14" s="11" t="s">
        <v>32</v>
      </c>
      <c r="Q14" s="46">
        <v>16.539935135135135</v>
      </c>
      <c r="R14" s="2">
        <v>25.090528528528527</v>
      </c>
      <c r="S14" s="40">
        <v>25.575702102102102</v>
      </c>
      <c r="T14" s="69">
        <f t="shared" si="0"/>
        <v>48</v>
      </c>
      <c r="U14" s="23">
        <f t="shared" si="1"/>
        <v>4.8863880680576482E-2</v>
      </c>
      <c r="V14" s="8">
        <f t="shared" si="2"/>
        <v>9.9719918262747453E-2</v>
      </c>
      <c r="W14" s="11">
        <f t="shared" si="3"/>
        <v>8.4668129191151145E-2</v>
      </c>
      <c r="X14" s="21">
        <f>U14/AVERAGE($U$23:$W$23)</f>
        <v>0.68382055071458392</v>
      </c>
      <c r="Y14" s="21">
        <f>V14/AVERAGE($U$23:$W$23)</f>
        <v>1.3955201362210097</v>
      </c>
      <c r="Z14" s="21">
        <f>W14/AVERAGE($U$23:$W$23)</f>
        <v>1.1848794226955666</v>
      </c>
    </row>
    <row r="15" spans="1:26" x14ac:dyDescent="0.3">
      <c r="A15" s="69" t="s">
        <v>26</v>
      </c>
      <c r="B15" s="11" t="s">
        <v>86</v>
      </c>
      <c r="C15" s="8" t="s">
        <v>86</v>
      </c>
      <c r="D15" s="23" t="s">
        <v>86</v>
      </c>
      <c r="E15" s="23" t="s">
        <v>87</v>
      </c>
      <c r="F15" s="8">
        <v>2</v>
      </c>
      <c r="G15" s="55" t="s">
        <v>88</v>
      </c>
      <c r="H15" s="31">
        <v>6.0862498357892036</v>
      </c>
      <c r="I15" s="2">
        <v>10.252500139176846</v>
      </c>
      <c r="J15" s="32">
        <v>6.9862499833106995</v>
      </c>
      <c r="K15" s="31">
        <v>10.488750040531158</v>
      </c>
      <c r="L15" s="2">
        <v>9.6799999475479126</v>
      </c>
      <c r="M15" s="32">
        <v>9.2249998822808266</v>
      </c>
      <c r="N15" s="23" t="s">
        <v>32</v>
      </c>
      <c r="O15" s="8" t="s">
        <v>32</v>
      </c>
      <c r="P15" s="11" t="s">
        <v>32</v>
      </c>
      <c r="Q15" s="46">
        <v>18.711446246246247</v>
      </c>
      <c r="R15" s="2">
        <v>21.052641441441441</v>
      </c>
      <c r="S15" s="40">
        <v>23.199021021021021</v>
      </c>
      <c r="T15" s="69">
        <f t="shared" si="0"/>
        <v>48</v>
      </c>
      <c r="U15" s="23">
        <f t="shared" si="1"/>
        <v>7.4331411329362926E-2</v>
      </c>
      <c r="V15" s="8">
        <f t="shared" si="2"/>
        <v>9.0619152701090611E-2</v>
      </c>
      <c r="W15" s="11">
        <f t="shared" si="3"/>
        <v>0.10478329411500041</v>
      </c>
      <c r="X15" s="21">
        <f>U15/AVERAGE($U$23:$W$23)</f>
        <v>1.040223288095127</v>
      </c>
      <c r="Y15" s="21">
        <f>V15/AVERAGE($U$23:$W$23)</f>
        <v>1.2681604089210397</v>
      </c>
      <c r="Z15" s="21">
        <f>W15/AVERAGE($U$23:$W$23)</f>
        <v>1.4663790286286051</v>
      </c>
    </row>
    <row r="16" spans="1:26" x14ac:dyDescent="0.3">
      <c r="A16" s="69" t="s">
        <v>26</v>
      </c>
      <c r="B16" s="11" t="s">
        <v>89</v>
      </c>
      <c r="C16" s="8" t="s">
        <v>90</v>
      </c>
      <c r="D16" s="23" t="s">
        <v>668</v>
      </c>
      <c r="E16" s="23" t="s">
        <v>82</v>
      </c>
      <c r="F16" s="8">
        <v>4</v>
      </c>
      <c r="G16" s="11" t="s">
        <v>92</v>
      </c>
      <c r="H16" s="5">
        <v>6.1049998737871647</v>
      </c>
      <c r="I16" s="6">
        <v>6.9412499666213989</v>
      </c>
      <c r="J16" s="35">
        <v>5.7737500406801701</v>
      </c>
      <c r="K16" s="5">
        <v>13.574999943375587</v>
      </c>
      <c r="L16" s="6">
        <v>13.117500022053719</v>
      </c>
      <c r="M16" s="35">
        <v>12.594999931752682</v>
      </c>
      <c r="N16" s="5">
        <v>15.564999729394913</v>
      </c>
      <c r="O16" s="6">
        <v>14.37624990940094</v>
      </c>
      <c r="P16" s="35">
        <v>14.300000295042992</v>
      </c>
      <c r="Q16" s="7">
        <v>76.100359159159169</v>
      </c>
      <c r="R16" s="6">
        <v>90.180287087087066</v>
      </c>
      <c r="S16" s="26">
        <v>89.363763363363347</v>
      </c>
      <c r="T16" s="69">
        <f t="shared" si="0"/>
        <v>72</v>
      </c>
      <c r="U16" s="23">
        <f>Q16/K16/(T16-24)</f>
        <v>0.11678999305799735</v>
      </c>
      <c r="V16" s="8">
        <f t="shared" si="2"/>
        <v>0.14322515554201129</v>
      </c>
      <c r="W16" s="11">
        <f t="shared" si="3"/>
        <v>0.14781620326781494</v>
      </c>
      <c r="X16" s="23">
        <f>U16/AVERAGE($U$23:$W$23)</f>
        <v>1.6344055416502785</v>
      </c>
      <c r="Y16" s="23">
        <f t="shared" ref="Y16:Z23" si="4">V16/AVERAGE($U$23:$W$23)</f>
        <v>2.0043497031919455</v>
      </c>
      <c r="Z16" s="23">
        <f t="shared" si="4"/>
        <v>2.0685986482304823</v>
      </c>
    </row>
    <row r="17" spans="1:26" x14ac:dyDescent="0.3">
      <c r="A17" s="69" t="s">
        <v>26</v>
      </c>
      <c r="B17" s="11" t="s">
        <v>93</v>
      </c>
      <c r="C17" s="8" t="s">
        <v>94</v>
      </c>
      <c r="D17" s="23" t="s">
        <v>667</v>
      </c>
      <c r="E17" s="23" t="s">
        <v>82</v>
      </c>
      <c r="F17" s="8">
        <v>4</v>
      </c>
      <c r="G17" s="11" t="s">
        <v>96</v>
      </c>
      <c r="H17" s="5">
        <v>6.0587500222027302</v>
      </c>
      <c r="I17" s="6">
        <v>6.9937499240040779</v>
      </c>
      <c r="J17" s="35">
        <v>5.9437498450279236</v>
      </c>
      <c r="K17" s="5">
        <v>13.080000132322311</v>
      </c>
      <c r="L17" s="6">
        <v>13.158750161528587</v>
      </c>
      <c r="M17" s="35">
        <v>12.563750334084034</v>
      </c>
      <c r="N17" s="5">
        <v>14.408750087022781</v>
      </c>
      <c r="O17" s="6">
        <v>15.163749828934669</v>
      </c>
      <c r="P17" s="35">
        <v>14.523749798536301</v>
      </c>
      <c r="Q17" s="7">
        <v>55.849285285285298</v>
      </c>
      <c r="R17" s="6">
        <v>57.276530930930903</v>
      </c>
      <c r="S17" s="26">
        <v>56.940492492492503</v>
      </c>
      <c r="T17" s="69">
        <f t="shared" si="0"/>
        <v>72</v>
      </c>
      <c r="U17" s="23">
        <f t="shared" si="1"/>
        <v>8.895464564266764E-2</v>
      </c>
      <c r="V17" s="8">
        <f t="shared" si="2"/>
        <v>9.068194520097532E-2</v>
      </c>
      <c r="W17" s="11">
        <f t="shared" si="3"/>
        <v>9.4419279969458689E-2</v>
      </c>
      <c r="X17" s="23">
        <f t="shared" ref="X17:X23" si="5">U17/AVERAGE($U$23:$W$23)</f>
        <v>1.2448666361484739</v>
      </c>
      <c r="Y17" s="23">
        <f t="shared" si="4"/>
        <v>1.2690391521001292</v>
      </c>
      <c r="Z17" s="23">
        <f t="shared" si="4"/>
        <v>1.3213408989936162</v>
      </c>
    </row>
    <row r="18" spans="1:26" x14ac:dyDescent="0.3">
      <c r="A18" s="69" t="s">
        <v>26</v>
      </c>
      <c r="B18" s="11" t="s">
        <v>97</v>
      </c>
      <c r="C18" s="8" t="s">
        <v>98</v>
      </c>
      <c r="D18" s="23" t="s">
        <v>99</v>
      </c>
      <c r="E18" s="23" t="s">
        <v>82</v>
      </c>
      <c r="F18" s="8">
        <v>4</v>
      </c>
      <c r="G18" s="11" t="s">
        <v>100</v>
      </c>
      <c r="H18" s="5">
        <v>5.4574999958276749</v>
      </c>
      <c r="I18" s="6">
        <v>5.8362500742077827</v>
      </c>
      <c r="J18" s="35">
        <v>5.2225000225007534</v>
      </c>
      <c r="K18" s="5">
        <v>12.296250276267529</v>
      </c>
      <c r="L18" s="6">
        <v>12.4312499538064</v>
      </c>
      <c r="M18" s="35">
        <v>11.923749931156635</v>
      </c>
      <c r="N18" s="5">
        <v>14.055000245571136</v>
      </c>
      <c r="O18" s="6">
        <v>14.577499777078629</v>
      </c>
      <c r="P18" s="35">
        <v>13.892500102519989</v>
      </c>
      <c r="Q18" s="7">
        <v>39.963573573573598</v>
      </c>
      <c r="R18" s="6">
        <v>39.274824024023999</v>
      </c>
      <c r="S18" s="26">
        <v>38.407544744744698</v>
      </c>
      <c r="T18" s="69">
        <f t="shared" si="0"/>
        <v>72</v>
      </c>
      <c r="U18" s="23">
        <f t="shared" si="1"/>
        <v>6.7709621286447516E-2</v>
      </c>
      <c r="V18" s="8">
        <f t="shared" si="2"/>
        <v>6.582005056136471E-2</v>
      </c>
      <c r="W18" s="11">
        <f t="shared" si="3"/>
        <v>6.7106169351252395E-2</v>
      </c>
      <c r="X18" s="23">
        <f t="shared" si="5"/>
        <v>0.94755532863723846</v>
      </c>
      <c r="Y18" s="23">
        <f t="shared" si="4"/>
        <v>0.92111192553778087</v>
      </c>
      <c r="Z18" s="23">
        <f t="shared" si="4"/>
        <v>0.93911038261765345</v>
      </c>
    </row>
    <row r="19" spans="1:26" x14ac:dyDescent="0.3">
      <c r="A19" s="69" t="s">
        <v>26</v>
      </c>
      <c r="B19" s="11" t="s">
        <v>101</v>
      </c>
      <c r="C19" s="8" t="s">
        <v>102</v>
      </c>
      <c r="D19" s="23" t="s">
        <v>666</v>
      </c>
      <c r="E19" s="23" t="s">
        <v>82</v>
      </c>
      <c r="F19" s="8">
        <v>4</v>
      </c>
      <c r="G19" s="11" t="s">
        <v>104</v>
      </c>
      <c r="H19" s="5">
        <v>5.9974999167025089</v>
      </c>
      <c r="I19" s="6">
        <v>6.2749999575316906</v>
      </c>
      <c r="J19" s="35">
        <v>5.8237500488758087</v>
      </c>
      <c r="K19" s="5">
        <v>12.271250039339066</v>
      </c>
      <c r="L19" s="6">
        <v>11.89500018954277</v>
      </c>
      <c r="M19" s="35">
        <v>11.421249806880951</v>
      </c>
      <c r="N19" s="5">
        <v>13.57249990105629</v>
      </c>
      <c r="O19" s="6">
        <v>14.167499914765358</v>
      </c>
      <c r="P19" s="35">
        <v>13.208749890327454</v>
      </c>
      <c r="Q19" s="7">
        <v>6.3619291291291287</v>
      </c>
      <c r="R19" s="6">
        <v>6.438013213213214</v>
      </c>
      <c r="S19" s="26">
        <v>6.5272924924924931</v>
      </c>
      <c r="T19" s="69">
        <f t="shared" si="0"/>
        <v>72</v>
      </c>
      <c r="U19" s="23">
        <f t="shared" si="1"/>
        <v>1.0800871122770214E-2</v>
      </c>
      <c r="V19" s="8">
        <f t="shared" si="2"/>
        <v>1.1275769074235796E-2</v>
      </c>
      <c r="W19" s="11">
        <f t="shared" si="3"/>
        <v>1.1906337971728222E-2</v>
      </c>
      <c r="X19" s="23">
        <f t="shared" si="5"/>
        <v>0.15115167965580498</v>
      </c>
      <c r="Y19" s="23">
        <f t="shared" si="4"/>
        <v>0.15779759017665129</v>
      </c>
      <c r="Z19" s="23">
        <f t="shared" si="4"/>
        <v>0.16662202173511653</v>
      </c>
    </row>
    <row r="20" spans="1:26" x14ac:dyDescent="0.3">
      <c r="A20" s="69" t="s">
        <v>26</v>
      </c>
      <c r="B20" s="11" t="s">
        <v>105</v>
      </c>
      <c r="C20" s="8" t="s">
        <v>106</v>
      </c>
      <c r="D20" s="23" t="s">
        <v>669</v>
      </c>
      <c r="E20" s="23" t="s">
        <v>82</v>
      </c>
      <c r="F20" s="8">
        <v>4</v>
      </c>
      <c r="G20" s="11" t="s">
        <v>108</v>
      </c>
      <c r="H20" s="5">
        <v>5.7087499648332596</v>
      </c>
      <c r="I20" s="6">
        <v>5.9100001119077206</v>
      </c>
      <c r="J20" s="35">
        <v>6.3387500122189522</v>
      </c>
      <c r="K20" s="5">
        <v>12.652500160038471</v>
      </c>
      <c r="L20" s="6">
        <v>12.483750097453594</v>
      </c>
      <c r="M20" s="35">
        <v>12.292500026524067</v>
      </c>
      <c r="N20" s="5">
        <v>13.832500204443932</v>
      </c>
      <c r="O20" s="6">
        <v>14.027500152587891</v>
      </c>
      <c r="P20" s="35">
        <v>13.296250253915787</v>
      </c>
      <c r="Q20" s="7">
        <v>57.621105105105109</v>
      </c>
      <c r="R20" s="6">
        <v>53.540359159159159</v>
      </c>
      <c r="S20" s="26">
        <v>54.312456456456459</v>
      </c>
      <c r="T20" s="69">
        <f t="shared" si="0"/>
        <v>72</v>
      </c>
      <c r="U20" s="23">
        <f t="shared" si="1"/>
        <v>9.4877666430003005E-2</v>
      </c>
      <c r="V20" s="8">
        <f t="shared" si="2"/>
        <v>8.9350086347584831E-2</v>
      </c>
      <c r="W20" s="11">
        <f t="shared" si="3"/>
        <v>9.204877014992896E-2</v>
      </c>
      <c r="X20" s="23">
        <f t="shared" si="5"/>
        <v>1.3277557411535865</v>
      </c>
      <c r="Y20" s="23">
        <f t="shared" si="4"/>
        <v>1.2504005904076354</v>
      </c>
      <c r="Z20" s="23">
        <f t="shared" si="4"/>
        <v>1.2881670432194166</v>
      </c>
    </row>
    <row r="21" spans="1:26" x14ac:dyDescent="0.3">
      <c r="A21" s="69" t="s">
        <v>26</v>
      </c>
      <c r="B21" s="11" t="s">
        <v>109</v>
      </c>
      <c r="C21" s="8" t="s">
        <v>110</v>
      </c>
      <c r="D21" s="23" t="s">
        <v>665</v>
      </c>
      <c r="E21" s="23" t="s">
        <v>82</v>
      </c>
      <c r="F21" s="8">
        <v>4</v>
      </c>
      <c r="G21" s="11" t="s">
        <v>112</v>
      </c>
      <c r="H21" s="5">
        <v>6.1500000767409801</v>
      </c>
      <c r="I21" s="6">
        <v>6.522500142455101</v>
      </c>
      <c r="J21" s="35">
        <v>7.0162500254809856</v>
      </c>
      <c r="K21" s="5">
        <v>13.291249796748161</v>
      </c>
      <c r="L21" s="6">
        <v>12.912500277161598</v>
      </c>
      <c r="M21" s="35">
        <v>13.601249828934669</v>
      </c>
      <c r="N21" s="5">
        <v>14.957499876618385</v>
      </c>
      <c r="O21" s="6">
        <v>14.857500046491623</v>
      </c>
      <c r="P21" s="35">
        <v>14.313749969005585</v>
      </c>
      <c r="Q21" s="7">
        <v>96.034739939939939</v>
      </c>
      <c r="R21" s="6">
        <v>92.606524924924926</v>
      </c>
      <c r="S21" s="26">
        <v>99.009076276276261</v>
      </c>
      <c r="T21" s="69">
        <f t="shared" si="0"/>
        <v>72</v>
      </c>
      <c r="U21" s="23">
        <f t="shared" si="1"/>
        <v>0.15052939184381639</v>
      </c>
      <c r="V21" s="8">
        <f t="shared" si="2"/>
        <v>0.14941355749784335</v>
      </c>
      <c r="W21" s="11">
        <f t="shared" si="3"/>
        <v>0.15165437846020735</v>
      </c>
      <c r="X21" s="23">
        <f t="shared" si="5"/>
        <v>2.1065680866048546</v>
      </c>
      <c r="Y21" s="23">
        <f t="shared" si="4"/>
        <v>2.0909526576552495</v>
      </c>
      <c r="Z21" s="23">
        <f t="shared" si="4"/>
        <v>2.1223115960611718</v>
      </c>
    </row>
    <row r="22" spans="1:26" x14ac:dyDescent="0.3">
      <c r="A22" s="69" t="s">
        <v>26</v>
      </c>
      <c r="B22" s="11" t="s">
        <v>113</v>
      </c>
      <c r="C22" s="8" t="s">
        <v>114</v>
      </c>
      <c r="D22" s="23" t="s">
        <v>670</v>
      </c>
      <c r="E22" s="23" t="s">
        <v>82</v>
      </c>
      <c r="F22" s="8">
        <v>4</v>
      </c>
      <c r="G22" s="11" t="s">
        <v>116</v>
      </c>
      <c r="H22" s="5">
        <v>6.3062500208616257</v>
      </c>
      <c r="I22" s="6">
        <v>6.2812501564621925</v>
      </c>
      <c r="J22" s="35">
        <v>6.1700000427663326</v>
      </c>
      <c r="K22" s="5">
        <v>13.400000333786011</v>
      </c>
      <c r="L22" s="6">
        <v>13.601249828934669</v>
      </c>
      <c r="M22" s="35">
        <v>13.687500357627869</v>
      </c>
      <c r="N22" s="5">
        <v>15.818750113248825</v>
      </c>
      <c r="O22" s="6">
        <v>15.857500210404396</v>
      </c>
      <c r="P22" s="35">
        <v>15.372499823570251</v>
      </c>
      <c r="Q22" s="7">
        <v>6.5913345345350001</v>
      </c>
      <c r="R22" s="6">
        <v>9.0994234234229996</v>
      </c>
      <c r="S22" s="26">
        <v>9.6944312312310004</v>
      </c>
      <c r="T22" s="69">
        <f t="shared" si="0"/>
        <v>72</v>
      </c>
      <c r="U22" s="23">
        <f t="shared" si="1"/>
        <v>1.024772134693531E-2</v>
      </c>
      <c r="V22" s="8">
        <f t="shared" si="2"/>
        <v>1.3937786872940693E-2</v>
      </c>
      <c r="W22" s="11">
        <f t="shared" si="3"/>
        <v>1.4755602706140477E-2</v>
      </c>
      <c r="X22" s="23">
        <f t="shared" si="5"/>
        <v>0.14341068202993631</v>
      </c>
      <c r="Y22" s="23">
        <f t="shared" si="4"/>
        <v>0.19505092437296692</v>
      </c>
      <c r="Z22" s="23">
        <f t="shared" si="4"/>
        <v>0.20649576390786867</v>
      </c>
    </row>
    <row r="23" spans="1:26" x14ac:dyDescent="0.3">
      <c r="A23" s="69" t="s">
        <v>26</v>
      </c>
      <c r="B23" s="11" t="s">
        <v>86</v>
      </c>
      <c r="C23" s="8" t="s">
        <v>86</v>
      </c>
      <c r="D23" s="23" t="s">
        <v>86</v>
      </c>
      <c r="E23" s="23" t="s">
        <v>87</v>
      </c>
      <c r="F23" s="8">
        <v>4</v>
      </c>
      <c r="G23" s="11" t="s">
        <v>88</v>
      </c>
      <c r="H23" s="5">
        <v>6.0699998401105404</v>
      </c>
      <c r="I23" s="6">
        <v>6.5874999389052391</v>
      </c>
      <c r="J23" s="35">
        <v>5.7712499983608723</v>
      </c>
      <c r="K23" s="5">
        <v>12.768749892711639</v>
      </c>
      <c r="L23" s="6">
        <v>12.801250070333481</v>
      </c>
      <c r="M23" s="35">
        <v>12.453749962151051</v>
      </c>
      <c r="N23" s="5">
        <v>14.938750118017197</v>
      </c>
      <c r="O23" s="6">
        <v>14.951250329613686</v>
      </c>
      <c r="P23" s="35">
        <v>14.403749629855156</v>
      </c>
      <c r="Q23" s="7">
        <v>45.924916516516511</v>
      </c>
      <c r="R23" s="6">
        <v>41.646542942942943</v>
      </c>
      <c r="S23" s="26">
        <v>42.839017417417423</v>
      </c>
      <c r="T23" s="69">
        <f t="shared" si="0"/>
        <v>72</v>
      </c>
      <c r="U23" s="23">
        <f t="shared" si="1"/>
        <v>7.4930521948762943E-2</v>
      </c>
      <c r="V23" s="8">
        <f t="shared" si="2"/>
        <v>6.7777467555456397E-2</v>
      </c>
      <c r="W23" s="11">
        <f t="shared" si="3"/>
        <v>7.1663517594452955E-2</v>
      </c>
      <c r="X23" s="23">
        <f t="shared" si="5"/>
        <v>1.0486074800174834</v>
      </c>
      <c r="Y23" s="23">
        <f t="shared" si="4"/>
        <v>0.94850479626836792</v>
      </c>
      <c r="Z23" s="23">
        <f t="shared" si="4"/>
        <v>1.0028877237141482</v>
      </c>
    </row>
    <row r="24" spans="1:26" x14ac:dyDescent="0.3">
      <c r="A24" s="69" t="s">
        <v>26</v>
      </c>
      <c r="B24" s="11" t="s">
        <v>117</v>
      </c>
      <c r="C24" s="8" t="s">
        <v>118</v>
      </c>
      <c r="D24" s="77" t="s">
        <v>119</v>
      </c>
      <c r="E24" s="23" t="s">
        <v>120</v>
      </c>
      <c r="F24" s="8">
        <v>5</v>
      </c>
      <c r="G24" s="62" t="s">
        <v>121</v>
      </c>
      <c r="H24" s="23">
        <v>5.4650000296533108</v>
      </c>
      <c r="I24" s="8">
        <v>5.3924999199807644</v>
      </c>
      <c r="J24" s="11">
        <v>5.6387499906122684</v>
      </c>
      <c r="K24" s="23">
        <v>14.1099999397993</v>
      </c>
      <c r="L24" s="8">
        <v>15.0624996945261</v>
      </c>
      <c r="M24" s="11">
        <v>14.450000293552799</v>
      </c>
      <c r="N24" s="23">
        <v>16.337500393390599</v>
      </c>
      <c r="O24" s="8">
        <v>18.098750427365299</v>
      </c>
      <c r="P24" s="11">
        <v>16.1024997681379</v>
      </c>
      <c r="Q24" s="48">
        <v>23.192944144144146</v>
      </c>
      <c r="R24" s="8">
        <v>27.009744144144143</v>
      </c>
      <c r="S24" s="20">
        <v>27.664311111111108</v>
      </c>
      <c r="T24" s="69">
        <f t="shared" si="0"/>
        <v>72</v>
      </c>
      <c r="U24" s="23">
        <f t="shared" si="1"/>
        <v>3.4244247937481508E-2</v>
      </c>
      <c r="V24" s="8">
        <f t="shared" si="2"/>
        <v>3.7357876475675303E-2</v>
      </c>
      <c r="W24" s="11">
        <f t="shared" si="3"/>
        <v>3.9885107481413828E-2</v>
      </c>
      <c r="X24" s="23">
        <f t="shared" ref="X24:Z59" si="6">U24/AVERAGE($U$68:$W$68)</f>
        <v>0.62224745467095655</v>
      </c>
      <c r="Y24" s="23">
        <f t="shared" si="6"/>
        <v>0.67882476471202002</v>
      </c>
      <c r="Z24" s="23">
        <f t="shared" si="6"/>
        <v>0.72474672695097153</v>
      </c>
    </row>
    <row r="25" spans="1:26" x14ac:dyDescent="0.3">
      <c r="A25" s="69" t="s">
        <v>26</v>
      </c>
      <c r="B25" s="11" t="s">
        <v>122</v>
      </c>
      <c r="C25" s="8" t="s">
        <v>123</v>
      </c>
      <c r="D25" s="23" t="s">
        <v>122</v>
      </c>
      <c r="E25" s="23" t="s">
        <v>120</v>
      </c>
      <c r="F25" s="8">
        <v>5</v>
      </c>
      <c r="G25" s="11" t="s">
        <v>124</v>
      </c>
      <c r="H25" s="23">
        <v>5.0950000062584877</v>
      </c>
      <c r="I25" s="8">
        <v>5.084999930113554</v>
      </c>
      <c r="J25" s="11">
        <v>5.5224998854100704</v>
      </c>
      <c r="K25" s="23">
        <v>10.646249912679195</v>
      </c>
      <c r="L25" s="8">
        <v>10.219999775290489</v>
      </c>
      <c r="M25" s="11">
        <v>10.776250064373016</v>
      </c>
      <c r="N25" s="23">
        <v>13.030000030994415</v>
      </c>
      <c r="O25" s="8">
        <v>14.241249859333038</v>
      </c>
      <c r="P25" s="11">
        <v>13.214999809861183</v>
      </c>
      <c r="Q25" s="48">
        <v>36.476009609609598</v>
      </c>
      <c r="R25" s="8">
        <v>39.173435435435401</v>
      </c>
      <c r="S25" s="20">
        <v>34.862673873873902</v>
      </c>
      <c r="T25" s="69">
        <f t="shared" si="0"/>
        <v>72</v>
      </c>
      <c r="U25" s="23">
        <f t="shared" si="1"/>
        <v>7.1378830395653264E-2</v>
      </c>
      <c r="V25" s="8">
        <f t="shared" si="2"/>
        <v>7.9854526045235713E-2</v>
      </c>
      <c r="W25" s="11">
        <f t="shared" si="3"/>
        <v>6.7398742732123498E-2</v>
      </c>
      <c r="X25" s="23">
        <f t="shared" si="6"/>
        <v>1.2970147749243188</v>
      </c>
      <c r="Y25" s="23">
        <f t="shared" si="6"/>
        <v>1.4510254588250691</v>
      </c>
      <c r="Z25" s="23">
        <f t="shared" si="6"/>
        <v>1.224693156925287</v>
      </c>
    </row>
    <row r="26" spans="1:26" x14ac:dyDescent="0.3">
      <c r="A26" s="69" t="s">
        <v>26</v>
      </c>
      <c r="B26" s="11" t="s">
        <v>125</v>
      </c>
      <c r="C26" s="8" t="s">
        <v>126</v>
      </c>
      <c r="D26" s="23" t="s">
        <v>125</v>
      </c>
      <c r="E26" s="23" t="s">
        <v>120</v>
      </c>
      <c r="F26" s="8">
        <v>5</v>
      </c>
      <c r="G26" s="62" t="s">
        <v>127</v>
      </c>
      <c r="H26" s="23">
        <v>4.9624999985098839</v>
      </c>
      <c r="I26" s="8">
        <v>5.0437498837709427</v>
      </c>
      <c r="J26" s="11">
        <v>5.260000005364418</v>
      </c>
      <c r="K26" s="23">
        <v>13.8537498861551</v>
      </c>
      <c r="L26" s="8">
        <v>12.967499949038</v>
      </c>
      <c r="M26" s="11">
        <v>13.4862501621246</v>
      </c>
      <c r="N26" s="23">
        <v>13.8049997612833</v>
      </c>
      <c r="O26" s="8">
        <v>13.5899998247623</v>
      </c>
      <c r="P26" s="11">
        <v>13.6987500116229</v>
      </c>
      <c r="Q26" s="48">
        <v>24.226676276276301</v>
      </c>
      <c r="R26" s="8">
        <v>25.158478078078101</v>
      </c>
      <c r="S26" s="20">
        <v>25.372014414414402</v>
      </c>
      <c r="T26" s="69">
        <f t="shared" si="0"/>
        <v>72</v>
      </c>
      <c r="U26" s="23">
        <f t="shared" si="1"/>
        <v>3.643218814906013E-2</v>
      </c>
      <c r="V26" s="8">
        <f t="shared" si="2"/>
        <v>4.0419121806038148E-2</v>
      </c>
      <c r="W26" s="11">
        <f t="shared" si="3"/>
        <v>3.9194262843954338E-2</v>
      </c>
      <c r="X26" s="23">
        <f t="shared" si="6"/>
        <v>0.66200421119580599</v>
      </c>
      <c r="Y26" s="23">
        <f t="shared" si="6"/>
        <v>0.73445022678726413</v>
      </c>
      <c r="Z26" s="23">
        <f t="shared" si="6"/>
        <v>0.71219348536666061</v>
      </c>
    </row>
    <row r="27" spans="1:26" x14ac:dyDescent="0.3">
      <c r="A27" s="69" t="s">
        <v>26</v>
      </c>
      <c r="B27" s="11" t="s">
        <v>128</v>
      </c>
      <c r="C27" s="8" t="s">
        <v>129</v>
      </c>
      <c r="D27" s="23" t="s">
        <v>128</v>
      </c>
      <c r="E27" s="23" t="s">
        <v>120</v>
      </c>
      <c r="F27" s="8">
        <v>5</v>
      </c>
      <c r="G27" s="11" t="s">
        <v>130</v>
      </c>
      <c r="H27" s="23">
        <v>5.2424999885261059</v>
      </c>
      <c r="I27" s="8">
        <v>4.9837499856948853</v>
      </c>
      <c r="J27" s="11">
        <v>5.3925000131130219</v>
      </c>
      <c r="K27" s="23">
        <v>11.093750037252903</v>
      </c>
      <c r="L27" s="8">
        <v>11.235000006854534</v>
      </c>
      <c r="M27" s="11">
        <v>11.557500064373016</v>
      </c>
      <c r="N27" s="23">
        <v>13.264999911189079</v>
      </c>
      <c r="O27" s="8">
        <v>14.151250198483467</v>
      </c>
      <c r="P27" s="11">
        <v>12.946249917149544</v>
      </c>
      <c r="Q27" s="48">
        <v>44.1798702702703</v>
      </c>
      <c r="R27" s="8">
        <v>44.8585237237237</v>
      </c>
      <c r="S27" s="20">
        <v>48.4722342342342</v>
      </c>
      <c r="T27" s="69">
        <f t="shared" si="0"/>
        <v>72</v>
      </c>
      <c r="U27" s="23">
        <f t="shared" si="1"/>
        <v>8.2966892247725701E-2</v>
      </c>
      <c r="V27" s="8">
        <f t="shared" si="2"/>
        <v>8.3182249844895542E-2</v>
      </c>
      <c r="W27" s="11">
        <f t="shared" si="3"/>
        <v>8.7375142339486137E-2</v>
      </c>
      <c r="X27" s="23">
        <f t="shared" si="6"/>
        <v>1.5075798311400634</v>
      </c>
      <c r="Y27" s="23">
        <f t="shared" si="6"/>
        <v>1.511493064011395</v>
      </c>
      <c r="Z27" s="23">
        <f t="shared" si="6"/>
        <v>1.5876815289247184</v>
      </c>
    </row>
    <row r="28" spans="1:26" x14ac:dyDescent="0.3">
      <c r="A28" s="69" t="s">
        <v>26</v>
      </c>
      <c r="B28" s="11" t="s">
        <v>131</v>
      </c>
      <c r="C28" s="8" t="s">
        <v>132</v>
      </c>
      <c r="D28" s="23" t="s">
        <v>131</v>
      </c>
      <c r="E28" s="23" t="s">
        <v>120</v>
      </c>
      <c r="F28" s="8">
        <v>5</v>
      </c>
      <c r="G28" s="62" t="s">
        <v>133</v>
      </c>
      <c r="H28" s="23">
        <v>5.7312499731779099</v>
      </c>
      <c r="I28" s="8">
        <v>5.6050000712275505</v>
      </c>
      <c r="J28" s="11">
        <v>5.7699999772012234</v>
      </c>
      <c r="K28" s="23">
        <v>13.596249975264</v>
      </c>
      <c r="L28" s="8">
        <v>13.815000139176799</v>
      </c>
      <c r="M28" s="11">
        <v>13.6187499836087</v>
      </c>
      <c r="N28" s="23">
        <v>14.722499623894691</v>
      </c>
      <c r="O28" s="8">
        <v>15.206250175833702</v>
      </c>
      <c r="P28" s="11">
        <v>15.187500417232513</v>
      </c>
      <c r="Q28" s="48">
        <v>34.717213213213199</v>
      </c>
      <c r="R28" s="8">
        <v>34.901181981981999</v>
      </c>
      <c r="S28" s="20">
        <v>36.938073273273297</v>
      </c>
      <c r="T28" s="69">
        <f t="shared" si="0"/>
        <v>72</v>
      </c>
      <c r="U28" s="23">
        <f t="shared" si="1"/>
        <v>5.3196673832207254E-2</v>
      </c>
      <c r="V28" s="8">
        <f t="shared" si="2"/>
        <v>5.2631773480480391E-2</v>
      </c>
      <c r="W28" s="11">
        <f t="shared" si="3"/>
        <v>5.6506154685224637E-2</v>
      </c>
      <c r="X28" s="23">
        <f t="shared" si="6"/>
        <v>0.96662934310849091</v>
      </c>
      <c r="Y28" s="23">
        <f t="shared" si="6"/>
        <v>0.95636461758008962</v>
      </c>
      <c r="Z28" s="23">
        <f t="shared" si="6"/>
        <v>1.0267654582549515</v>
      </c>
    </row>
    <row r="29" spans="1:26" x14ac:dyDescent="0.3">
      <c r="A29" s="69" t="s">
        <v>26</v>
      </c>
      <c r="B29" s="11" t="s">
        <v>134</v>
      </c>
      <c r="C29" s="8" t="s">
        <v>135</v>
      </c>
      <c r="D29" s="23" t="s">
        <v>134</v>
      </c>
      <c r="E29" s="23" t="s">
        <v>120</v>
      </c>
      <c r="F29" s="8">
        <v>5</v>
      </c>
      <c r="G29" s="11" t="s">
        <v>136</v>
      </c>
      <c r="H29" s="23">
        <v>5.0462501123547554</v>
      </c>
      <c r="I29" s="8">
        <v>5.0112499855458736</v>
      </c>
      <c r="J29" s="11">
        <v>5.2649999037384987</v>
      </c>
      <c r="K29" s="23">
        <v>11.127499863505363</v>
      </c>
      <c r="L29" s="8">
        <v>11.217500083148479</v>
      </c>
      <c r="M29" s="11">
        <v>11.158750206232071</v>
      </c>
      <c r="N29" s="23">
        <v>13.831249997019768</v>
      </c>
      <c r="O29" s="8">
        <v>13.732499629259109</v>
      </c>
      <c r="P29" s="11">
        <v>12.77374979108572</v>
      </c>
      <c r="Q29" s="48">
        <v>44.952158558558601</v>
      </c>
      <c r="R29" s="8">
        <v>45.129228828828801</v>
      </c>
      <c r="S29" s="20">
        <v>47.460265465465497</v>
      </c>
      <c r="T29" s="69">
        <f t="shared" si="0"/>
        <v>72</v>
      </c>
      <c r="U29" s="23">
        <f t="shared" si="1"/>
        <v>8.4161160619263195E-2</v>
      </c>
      <c r="V29" s="8">
        <f t="shared" si="2"/>
        <v>8.3814776937659499E-2</v>
      </c>
      <c r="W29" s="11">
        <f t="shared" si="3"/>
        <v>8.8608088921850695E-2</v>
      </c>
      <c r="X29" s="23">
        <f t="shared" si="6"/>
        <v>1.5292807152050292</v>
      </c>
      <c r="Y29" s="23">
        <f t="shared" si="6"/>
        <v>1.5229866256221318</v>
      </c>
      <c r="Z29" s="23">
        <f t="shared" si="6"/>
        <v>1.6100852293658041</v>
      </c>
    </row>
    <row r="30" spans="1:26" x14ac:dyDescent="0.3">
      <c r="A30" s="69" t="s">
        <v>26</v>
      </c>
      <c r="B30" s="11" t="s">
        <v>137</v>
      </c>
      <c r="C30" s="8" t="s">
        <v>138</v>
      </c>
      <c r="D30" s="23" t="s">
        <v>137</v>
      </c>
      <c r="E30" s="23" t="s">
        <v>120</v>
      </c>
      <c r="F30" s="8">
        <v>5</v>
      </c>
      <c r="G30" s="62" t="s">
        <v>139</v>
      </c>
      <c r="H30" s="23">
        <v>5.111250001937151</v>
      </c>
      <c r="I30" s="8">
        <v>4.7937499359250069</v>
      </c>
      <c r="J30" s="11">
        <v>4.8187499865889549</v>
      </c>
      <c r="K30" s="23">
        <v>11.206250078976154</v>
      </c>
      <c r="L30" s="8">
        <v>10.631249845027924</v>
      </c>
      <c r="M30" s="11">
        <v>10.6862498447299</v>
      </c>
      <c r="N30" s="23">
        <v>13.807499781250954</v>
      </c>
      <c r="O30" s="8">
        <v>13.135000318288803</v>
      </c>
      <c r="P30" s="11">
        <v>13.413750007748604</v>
      </c>
      <c r="Q30" s="48">
        <v>32.930755555555599</v>
      </c>
      <c r="R30" s="8">
        <v>30.876836036036</v>
      </c>
      <c r="S30" s="20">
        <v>28.089700900900901</v>
      </c>
      <c r="T30" s="69">
        <f t="shared" si="0"/>
        <v>72</v>
      </c>
      <c r="U30" s="23">
        <f t="shared" si="1"/>
        <v>6.1220961746562164E-2</v>
      </c>
      <c r="V30" s="8">
        <f t="shared" si="2"/>
        <v>6.0507224154671073E-2</v>
      </c>
      <c r="W30" s="11">
        <f t="shared" si="3"/>
        <v>5.4762157969823637E-2</v>
      </c>
      <c r="X30" s="23">
        <f t="shared" si="6"/>
        <v>1.1124375599912202</v>
      </c>
      <c r="Y30" s="23">
        <f t="shared" si="6"/>
        <v>1.0994683337238476</v>
      </c>
      <c r="Z30" s="23">
        <f t="shared" si="6"/>
        <v>0.99507553710106922</v>
      </c>
    </row>
    <row r="31" spans="1:26" x14ac:dyDescent="0.3">
      <c r="A31" s="69" t="s">
        <v>26</v>
      </c>
      <c r="B31" s="11" t="s">
        <v>140</v>
      </c>
      <c r="C31" s="8" t="s">
        <v>141</v>
      </c>
      <c r="D31" s="23" t="s">
        <v>140</v>
      </c>
      <c r="E31" s="23" t="s">
        <v>120</v>
      </c>
      <c r="F31" s="8">
        <v>5</v>
      </c>
      <c r="G31" s="11" t="s">
        <v>142</v>
      </c>
      <c r="H31" s="23">
        <v>3.1675000209361315</v>
      </c>
      <c r="I31" s="8">
        <v>3.3287500962615013</v>
      </c>
      <c r="J31" s="11">
        <v>3.19624999538064</v>
      </c>
      <c r="K31" s="23">
        <v>7.5300000607967377</v>
      </c>
      <c r="L31" s="8">
        <v>7.1375001221895218</v>
      </c>
      <c r="M31" s="11">
        <v>7.1950001642107964</v>
      </c>
      <c r="N31" s="23">
        <v>9.6074998378753609</v>
      </c>
      <c r="O31" s="8">
        <v>9.7337501123547554</v>
      </c>
      <c r="P31" s="11">
        <v>9.525000024586916</v>
      </c>
      <c r="Q31" s="48">
        <v>44.7572876876877</v>
      </c>
      <c r="R31" s="8">
        <v>46.888742342342297</v>
      </c>
      <c r="S31" s="20">
        <v>48.130784384384398</v>
      </c>
      <c r="T31" s="69">
        <f t="shared" si="0"/>
        <v>72</v>
      </c>
      <c r="U31" s="23">
        <f t="shared" si="1"/>
        <v>0.1238304762237722</v>
      </c>
      <c r="V31" s="8">
        <f t="shared" si="2"/>
        <v>0.13686147559730433</v>
      </c>
      <c r="W31" s="11">
        <f t="shared" si="3"/>
        <v>0.13936409336894875</v>
      </c>
      <c r="X31" s="23">
        <f t="shared" si="6"/>
        <v>2.2501063180481555</v>
      </c>
      <c r="Y31" s="23">
        <f t="shared" si="6"/>
        <v>2.486890790780703</v>
      </c>
      <c r="Z31" s="23">
        <f t="shared" si="6"/>
        <v>2.5323655093747006</v>
      </c>
    </row>
    <row r="32" spans="1:26" x14ac:dyDescent="0.3">
      <c r="A32" s="69" t="s">
        <v>26</v>
      </c>
      <c r="B32" s="11" t="s">
        <v>143</v>
      </c>
      <c r="C32" s="8" t="s">
        <v>144</v>
      </c>
      <c r="D32" s="23" t="s">
        <v>143</v>
      </c>
      <c r="E32" s="23" t="s">
        <v>120</v>
      </c>
      <c r="F32" s="8">
        <v>5</v>
      </c>
      <c r="G32" s="62" t="s">
        <v>145</v>
      </c>
      <c r="H32" s="23">
        <v>2.8187499847263098</v>
      </c>
      <c r="I32" s="8">
        <v>2.7362499851733446</v>
      </c>
      <c r="J32" s="11">
        <v>2.9537499882280827</v>
      </c>
      <c r="K32" s="23">
        <v>17.380000278353691</v>
      </c>
      <c r="L32" s="8">
        <v>15.204999968409538</v>
      </c>
      <c r="M32" s="11">
        <v>16.312500089406967</v>
      </c>
      <c r="N32" s="23">
        <v>21.192499995231628</v>
      </c>
      <c r="O32" s="8">
        <v>19.886249676346779</v>
      </c>
      <c r="P32" s="11">
        <v>21.355000138282776</v>
      </c>
      <c r="Q32" s="48">
        <v>0</v>
      </c>
      <c r="R32" s="8">
        <v>0</v>
      </c>
      <c r="S32" s="20">
        <v>0</v>
      </c>
      <c r="T32" s="69">
        <f t="shared" si="0"/>
        <v>72</v>
      </c>
      <c r="U32" s="23">
        <f t="shared" si="1"/>
        <v>0</v>
      </c>
      <c r="V32" s="8">
        <f t="shared" si="2"/>
        <v>0</v>
      </c>
      <c r="W32" s="11">
        <f t="shared" si="3"/>
        <v>0</v>
      </c>
      <c r="X32" s="23">
        <f t="shared" si="6"/>
        <v>0</v>
      </c>
      <c r="Y32" s="23">
        <f t="shared" si="6"/>
        <v>0</v>
      </c>
      <c r="Z32" s="23">
        <f t="shared" si="6"/>
        <v>0</v>
      </c>
    </row>
    <row r="33" spans="1:26" x14ac:dyDescent="0.3">
      <c r="A33" s="69" t="s">
        <v>26</v>
      </c>
      <c r="B33" s="11" t="s">
        <v>64</v>
      </c>
      <c r="C33" s="8" t="s">
        <v>65</v>
      </c>
      <c r="D33" s="23" t="s">
        <v>64</v>
      </c>
      <c r="E33" s="23" t="s">
        <v>120</v>
      </c>
      <c r="F33" s="8">
        <v>5</v>
      </c>
      <c r="G33" s="11" t="s">
        <v>146</v>
      </c>
      <c r="H33" s="23">
        <v>5.0549999810755253</v>
      </c>
      <c r="I33" s="8">
        <v>5.1637499593198299</v>
      </c>
      <c r="J33" s="11">
        <v>5.2000000141561031</v>
      </c>
      <c r="K33" s="23">
        <v>11.687500029802322</v>
      </c>
      <c r="L33" s="8">
        <v>11.151249893009663</v>
      </c>
      <c r="M33" s="11">
        <v>10.727500170469284</v>
      </c>
      <c r="N33" s="23">
        <v>12.69999984651804</v>
      </c>
      <c r="O33" s="8">
        <v>12.78499998152256</v>
      </c>
      <c r="P33" s="11">
        <v>12.766250222921371</v>
      </c>
      <c r="Q33" s="48">
        <v>19.410284684684683</v>
      </c>
      <c r="R33" s="8">
        <v>17.647497897897896</v>
      </c>
      <c r="S33" s="20">
        <v>15.288628228228227</v>
      </c>
      <c r="T33" s="69">
        <f t="shared" si="0"/>
        <v>72</v>
      </c>
      <c r="U33" s="23">
        <f t="shared" si="1"/>
        <v>3.4599437852388219E-2</v>
      </c>
      <c r="V33" s="8">
        <f t="shared" si="2"/>
        <v>3.2969954913904066E-2</v>
      </c>
      <c r="W33" s="11">
        <f t="shared" si="3"/>
        <v>2.9691268517980776E-2</v>
      </c>
      <c r="X33" s="23">
        <f t="shared" si="6"/>
        <v>0.62870156109136899</v>
      </c>
      <c r="Y33" s="23">
        <f t="shared" si="6"/>
        <v>0.59909245381143594</v>
      </c>
      <c r="Z33" s="23">
        <f t="shared" si="6"/>
        <v>0.53951590045122799</v>
      </c>
    </row>
    <row r="34" spans="1:26" x14ac:dyDescent="0.3">
      <c r="A34" s="69" t="s">
        <v>26</v>
      </c>
      <c r="B34" s="11" t="s">
        <v>56</v>
      </c>
      <c r="C34" s="8" t="s">
        <v>57</v>
      </c>
      <c r="D34" s="23" t="s">
        <v>58</v>
      </c>
      <c r="E34" s="23" t="s">
        <v>120</v>
      </c>
      <c r="F34" s="8">
        <v>5</v>
      </c>
      <c r="G34" s="62" t="s">
        <v>147</v>
      </c>
      <c r="H34" s="23">
        <v>4.5987500809133053</v>
      </c>
      <c r="I34" s="8">
        <v>4.433750081807375</v>
      </c>
      <c r="J34" s="11">
        <v>4.5162498950958252</v>
      </c>
      <c r="K34" s="23">
        <v>10.241249948740005</v>
      </c>
      <c r="L34" s="8">
        <v>10.047500021755695</v>
      </c>
      <c r="M34" s="11">
        <v>9.7474999725818634</v>
      </c>
      <c r="N34" s="23">
        <v>12.073750048875809</v>
      </c>
      <c r="O34" s="8">
        <v>11.523749865591526</v>
      </c>
      <c r="P34" s="11">
        <v>11.898749880492687</v>
      </c>
      <c r="Q34" s="48">
        <v>18.549912312312308</v>
      </c>
      <c r="R34" s="8">
        <v>17.502618618618619</v>
      </c>
      <c r="S34" s="20">
        <v>14.958970570570571</v>
      </c>
      <c r="T34" s="69">
        <f t="shared" si="0"/>
        <v>72</v>
      </c>
      <c r="U34" s="23">
        <f t="shared" si="1"/>
        <v>3.7735287044141787E-2</v>
      </c>
      <c r="V34" s="8">
        <f t="shared" si="2"/>
        <v>3.6291404538277498E-2</v>
      </c>
      <c r="W34" s="11">
        <f t="shared" si="3"/>
        <v>3.1971810320269578E-2</v>
      </c>
      <c r="X34" s="23">
        <f t="shared" si="6"/>
        <v>0.68568263953008968</v>
      </c>
      <c r="Y34" s="23">
        <f t="shared" si="6"/>
        <v>0.65944605183342753</v>
      </c>
      <c r="Z34" s="23">
        <f t="shared" si="6"/>
        <v>0.58095530756963376</v>
      </c>
    </row>
    <row r="35" spans="1:26" x14ac:dyDescent="0.3">
      <c r="A35" s="69" t="s">
        <v>26</v>
      </c>
      <c r="B35" s="11" t="s">
        <v>148</v>
      </c>
      <c r="C35" s="8" t="s">
        <v>149</v>
      </c>
      <c r="D35" s="23" t="s">
        <v>150</v>
      </c>
      <c r="E35" s="23" t="s">
        <v>120</v>
      </c>
      <c r="F35" s="8">
        <v>5</v>
      </c>
      <c r="G35" s="11" t="s">
        <v>151</v>
      </c>
      <c r="H35" s="23">
        <v>5.1787500269711018</v>
      </c>
      <c r="I35" s="8">
        <v>4.9725000746548176</v>
      </c>
      <c r="J35" s="11">
        <v>5.0675000995397568</v>
      </c>
      <c r="K35" s="23">
        <v>11.422500014305115</v>
      </c>
      <c r="L35" s="8">
        <v>11.176249943673611</v>
      </c>
      <c r="M35" s="11">
        <v>11.237500049173832</v>
      </c>
      <c r="N35" s="23">
        <v>13.03625013679266</v>
      </c>
      <c r="O35" s="8">
        <v>13.07624951004982</v>
      </c>
      <c r="P35" s="11">
        <v>12.65375018119812</v>
      </c>
      <c r="Q35" s="48">
        <v>33.151440240240198</v>
      </c>
      <c r="R35" s="8">
        <v>28.705762162162198</v>
      </c>
      <c r="S35" s="20">
        <v>27.213855855855901</v>
      </c>
      <c r="T35" s="69">
        <f t="shared" si="0"/>
        <v>72</v>
      </c>
      <c r="U35" s="23">
        <f t="shared" si="1"/>
        <v>6.0464434593132277E-2</v>
      </c>
      <c r="V35" s="8">
        <f t="shared" si="2"/>
        <v>5.3509604270279863E-2</v>
      </c>
      <c r="W35" s="11">
        <f t="shared" si="3"/>
        <v>5.0452087016632598E-2</v>
      </c>
      <c r="X35" s="23">
        <f t="shared" si="6"/>
        <v>1.0986908105671815</v>
      </c>
      <c r="Y35" s="23">
        <f t="shared" si="6"/>
        <v>0.97231555846749784</v>
      </c>
      <c r="Z35" s="23">
        <f t="shared" si="6"/>
        <v>0.91675783875445493</v>
      </c>
    </row>
    <row r="36" spans="1:26" x14ac:dyDescent="0.3">
      <c r="A36" s="69" t="s">
        <v>26</v>
      </c>
      <c r="B36" s="11" t="s">
        <v>152</v>
      </c>
      <c r="C36" s="8" t="s">
        <v>153</v>
      </c>
      <c r="D36" s="23" t="s">
        <v>152</v>
      </c>
      <c r="E36" s="23" t="s">
        <v>120</v>
      </c>
      <c r="F36" s="8">
        <v>5</v>
      </c>
      <c r="G36" s="62" t="s">
        <v>154</v>
      </c>
      <c r="H36" s="23">
        <v>4.8412499949336052</v>
      </c>
      <c r="I36" s="8">
        <v>4.9124999903142452</v>
      </c>
      <c r="J36" s="11">
        <v>4.8999999649822712</v>
      </c>
      <c r="K36" s="23">
        <v>10.701250098645687</v>
      </c>
      <c r="L36" s="8">
        <v>10.744999907910824</v>
      </c>
      <c r="M36" s="11">
        <v>10.913749784231186</v>
      </c>
      <c r="N36" s="23">
        <v>17.545000016689301</v>
      </c>
      <c r="O36" s="8">
        <v>16.543750181794099</v>
      </c>
      <c r="P36" s="11">
        <v>16.5162502750754</v>
      </c>
      <c r="Q36" s="48">
        <v>34.465703303303307</v>
      </c>
      <c r="R36" s="8">
        <v>31.188802402402402</v>
      </c>
      <c r="S36" s="20">
        <v>37.206530930930903</v>
      </c>
      <c r="T36" s="69">
        <f t="shared" si="0"/>
        <v>72</v>
      </c>
      <c r="U36" s="23">
        <f t="shared" si="1"/>
        <v>6.7098280936014901E-2</v>
      </c>
      <c r="V36" s="8">
        <f t="shared" si="2"/>
        <v>6.0471542325313286E-2</v>
      </c>
      <c r="W36" s="11">
        <f t="shared" si="3"/>
        <v>7.102380725101666E-2</v>
      </c>
      <c r="X36" s="23">
        <f t="shared" si="6"/>
        <v>1.2192335075209326</v>
      </c>
      <c r="Y36" s="23">
        <f t="shared" si="6"/>
        <v>1.0988199641776271</v>
      </c>
      <c r="Z36" s="23">
        <f t="shared" si="6"/>
        <v>1.2905636988632321</v>
      </c>
    </row>
    <row r="37" spans="1:26" x14ac:dyDescent="0.3">
      <c r="A37" s="69" t="s">
        <v>26</v>
      </c>
      <c r="B37" s="11" t="s">
        <v>155</v>
      </c>
      <c r="C37" s="8" t="s">
        <v>156</v>
      </c>
      <c r="D37" s="23" t="s">
        <v>157</v>
      </c>
      <c r="E37" s="23" t="s">
        <v>120</v>
      </c>
      <c r="F37" s="8">
        <v>5</v>
      </c>
      <c r="G37" s="11" t="s">
        <v>158</v>
      </c>
      <c r="H37" s="23">
        <v>4.9787499010562897</v>
      </c>
      <c r="I37" s="8">
        <v>4.7225000336766243</v>
      </c>
      <c r="J37" s="11">
        <v>4.9037499353289604</v>
      </c>
      <c r="K37" s="23">
        <v>16.111250221729279</v>
      </c>
      <c r="L37" s="8">
        <v>18.991249799728394</v>
      </c>
      <c r="M37" s="11">
        <v>14.714999869465828</v>
      </c>
      <c r="N37" s="23">
        <v>23.712499812245369</v>
      </c>
      <c r="O37" s="8">
        <v>21.680000051856041</v>
      </c>
      <c r="P37" s="11">
        <v>18.651249632239342</v>
      </c>
      <c r="Q37" s="48">
        <v>15.664831231231233</v>
      </c>
      <c r="R37" s="8">
        <v>16.588906906906907</v>
      </c>
      <c r="S37" s="20">
        <v>14.009602402402404</v>
      </c>
      <c r="T37" s="69">
        <f t="shared" si="0"/>
        <v>72</v>
      </c>
      <c r="U37" s="23">
        <f t="shared" si="1"/>
        <v>2.0256072381676555E-2</v>
      </c>
      <c r="V37" s="8">
        <f t="shared" si="2"/>
        <v>1.8197971743395734E-2</v>
      </c>
      <c r="W37" s="11">
        <f t="shared" si="3"/>
        <v>1.9834639436344885E-2</v>
      </c>
      <c r="X37" s="23">
        <f t="shared" si="6"/>
        <v>0.36807026698732281</v>
      </c>
      <c r="Y37" s="23">
        <f t="shared" si="6"/>
        <v>0.33067280724561832</v>
      </c>
      <c r="Z37" s="23">
        <f t="shared" si="6"/>
        <v>0.36041246769718011</v>
      </c>
    </row>
    <row r="38" spans="1:26" x14ac:dyDescent="0.3">
      <c r="A38" s="69" t="s">
        <v>26</v>
      </c>
      <c r="B38" s="11" t="s">
        <v>159</v>
      </c>
      <c r="C38" s="8" t="s">
        <v>160</v>
      </c>
      <c r="D38" s="23" t="s">
        <v>161</v>
      </c>
      <c r="E38" s="23" t="s">
        <v>120</v>
      </c>
      <c r="F38" s="8">
        <v>5</v>
      </c>
      <c r="G38" s="62" t="s">
        <v>162</v>
      </c>
      <c r="H38" s="23">
        <v>4.6924999915063381</v>
      </c>
      <c r="I38" s="8">
        <v>4.6262498944997787</v>
      </c>
      <c r="J38" s="11">
        <v>4.7087498940527439</v>
      </c>
      <c r="K38" s="23">
        <v>10.819999873638153</v>
      </c>
      <c r="L38" s="8">
        <v>10.453750006854534</v>
      </c>
      <c r="M38" s="11">
        <v>10.127499885857105</v>
      </c>
      <c r="N38" s="23">
        <v>15.368750013411001</v>
      </c>
      <c r="O38" s="8">
        <v>15.3924996703863</v>
      </c>
      <c r="P38" s="11">
        <v>16.073750048875802</v>
      </c>
      <c r="Q38" s="48">
        <v>59.624517717717701</v>
      </c>
      <c r="R38" s="8">
        <v>58.877987987988</v>
      </c>
      <c r="S38" s="20">
        <v>57.806675075075098</v>
      </c>
      <c r="T38" s="69">
        <f t="shared" si="0"/>
        <v>72</v>
      </c>
      <c r="U38" s="23">
        <f t="shared" si="1"/>
        <v>0.11480383243616232</v>
      </c>
      <c r="V38" s="8">
        <f t="shared" si="2"/>
        <v>0.11733825172263072</v>
      </c>
      <c r="W38" s="11">
        <f t="shared" si="3"/>
        <v>0.11891441563110015</v>
      </c>
      <c r="X38" s="23">
        <f t="shared" si="6"/>
        <v>2.0860844323488097</v>
      </c>
      <c r="Y38" s="23">
        <f t="shared" si="6"/>
        <v>2.1321370118346574</v>
      </c>
      <c r="Z38" s="23">
        <f t="shared" si="6"/>
        <v>2.1607772664543492</v>
      </c>
    </row>
    <row r="39" spans="1:26" x14ac:dyDescent="0.3">
      <c r="A39" s="69" t="s">
        <v>26</v>
      </c>
      <c r="B39" s="11" t="s">
        <v>163</v>
      </c>
      <c r="C39" s="8" t="s">
        <v>164</v>
      </c>
      <c r="D39" s="23" t="s">
        <v>165</v>
      </c>
      <c r="E39" s="23" t="s">
        <v>120</v>
      </c>
      <c r="F39" s="8">
        <v>5</v>
      </c>
      <c r="G39" s="11" t="s">
        <v>166</v>
      </c>
      <c r="H39" s="23">
        <v>5.4275000467896461</v>
      </c>
      <c r="I39" s="8">
        <v>5.6149999611079693</v>
      </c>
      <c r="J39" s="11">
        <v>2.0974999759346247</v>
      </c>
      <c r="K39" s="23">
        <v>13.9812501594424</v>
      </c>
      <c r="L39" s="8">
        <v>13.6475000977516</v>
      </c>
      <c r="M39" s="11">
        <v>14.033750014379599</v>
      </c>
      <c r="N39" s="23">
        <v>15.092499785125201</v>
      </c>
      <c r="O39" s="8">
        <v>16.8262495398521</v>
      </c>
      <c r="P39" s="11">
        <v>15.060000039637</v>
      </c>
      <c r="Q39" s="48">
        <v>21.684736336336336</v>
      </c>
      <c r="R39" s="8">
        <v>20.079308108108108</v>
      </c>
      <c r="S39" s="20">
        <v>18.618617417417418</v>
      </c>
      <c r="T39" s="69">
        <f t="shared" si="0"/>
        <v>72</v>
      </c>
      <c r="U39" s="23">
        <f t="shared" si="1"/>
        <v>3.2312227818571383E-2</v>
      </c>
      <c r="V39" s="8">
        <f t="shared" si="2"/>
        <v>3.0651688288893014E-2</v>
      </c>
      <c r="W39" s="11">
        <f t="shared" si="3"/>
        <v>2.7639644604287226E-2</v>
      </c>
      <c r="X39" s="23">
        <f t="shared" si="6"/>
        <v>0.58714098646760438</v>
      </c>
      <c r="Y39" s="23">
        <f t="shared" si="6"/>
        <v>0.55696755419923416</v>
      </c>
      <c r="Z39" s="23">
        <f t="shared" si="6"/>
        <v>0.50223612836896314</v>
      </c>
    </row>
    <row r="40" spans="1:26" x14ac:dyDescent="0.3">
      <c r="A40" s="69" t="s">
        <v>26</v>
      </c>
      <c r="B40" s="11" t="s">
        <v>167</v>
      </c>
      <c r="C40" s="8" t="s">
        <v>168</v>
      </c>
      <c r="D40" s="23" t="s">
        <v>169</v>
      </c>
      <c r="E40" s="23" t="s">
        <v>120</v>
      </c>
      <c r="F40" s="8">
        <v>5</v>
      </c>
      <c r="G40" s="62" t="s">
        <v>170</v>
      </c>
      <c r="H40" s="23">
        <v>5.0124999135732651</v>
      </c>
      <c r="I40" s="8">
        <v>4.8737499862909317</v>
      </c>
      <c r="J40" s="11">
        <v>5.0049999728798866</v>
      </c>
      <c r="K40" s="23">
        <v>11.291249841451645</v>
      </c>
      <c r="L40" s="8">
        <v>11.141249909996986</v>
      </c>
      <c r="M40" s="11">
        <v>10.90875007212162</v>
      </c>
      <c r="N40" s="23">
        <v>12.963749840855598</v>
      </c>
      <c r="O40" s="8">
        <v>13.293750211596489</v>
      </c>
      <c r="P40" s="11">
        <v>12.370000220835209</v>
      </c>
      <c r="Q40" s="48">
        <v>51.459262462462497</v>
      </c>
      <c r="R40" s="8">
        <v>50.949013813813799</v>
      </c>
      <c r="S40" s="20">
        <v>47.145000600600603</v>
      </c>
      <c r="T40" s="69">
        <f t="shared" si="0"/>
        <v>72</v>
      </c>
      <c r="U40" s="23">
        <f t="shared" si="1"/>
        <v>9.4946793581014211E-2</v>
      </c>
      <c r="V40" s="8">
        <f t="shared" si="2"/>
        <v>9.5270979141699783E-2</v>
      </c>
      <c r="W40" s="11">
        <f t="shared" si="3"/>
        <v>9.0036668364287586E-2</v>
      </c>
      <c r="X40" s="23">
        <f t="shared" si="6"/>
        <v>1.7252649479356583</v>
      </c>
      <c r="Y40" s="23">
        <f t="shared" si="6"/>
        <v>1.7311556785583881</v>
      </c>
      <c r="Z40" s="23">
        <f t="shared" si="6"/>
        <v>1.6360437472305998</v>
      </c>
    </row>
    <row r="41" spans="1:26" x14ac:dyDescent="0.3">
      <c r="A41" s="69" t="s">
        <v>26</v>
      </c>
      <c r="B41" s="11" t="s">
        <v>171</v>
      </c>
      <c r="C41" s="8" t="s">
        <v>172</v>
      </c>
      <c r="D41" s="23" t="s">
        <v>173</v>
      </c>
      <c r="E41" s="23" t="s">
        <v>120</v>
      </c>
      <c r="F41" s="8">
        <v>5</v>
      </c>
      <c r="G41" s="11" t="s">
        <v>174</v>
      </c>
      <c r="H41" s="23">
        <v>4.6400000341236591</v>
      </c>
      <c r="I41" s="8">
        <v>4.4912500306963921</v>
      </c>
      <c r="J41" s="11">
        <v>4.4962500222027302</v>
      </c>
      <c r="K41" s="23">
        <v>10.456250235438347</v>
      </c>
      <c r="L41" s="8">
        <v>10.111250169575214</v>
      </c>
      <c r="M41" s="11">
        <v>9.7112499177455902</v>
      </c>
      <c r="N41" s="23">
        <v>11.91249992698431</v>
      </c>
      <c r="O41" s="8">
        <v>11.693749949336052</v>
      </c>
      <c r="P41" s="11">
        <v>11.063749901950359</v>
      </c>
      <c r="Q41" s="48">
        <v>31.6097465465465</v>
      </c>
      <c r="R41" s="8">
        <v>30.458341141141101</v>
      </c>
      <c r="S41" s="20">
        <v>28.471103903903899</v>
      </c>
      <c r="T41" s="69">
        <f t="shared" si="0"/>
        <v>72</v>
      </c>
      <c r="U41" s="23">
        <f t="shared" si="1"/>
        <v>6.2980167034877618E-2</v>
      </c>
      <c r="V41" s="8">
        <f t="shared" si="2"/>
        <v>6.2756707937375769E-2</v>
      </c>
      <c r="W41" s="11">
        <f t="shared" si="3"/>
        <v>6.1078440264844269E-2</v>
      </c>
      <c r="X41" s="23">
        <f t="shared" si="6"/>
        <v>1.1444038340030327</v>
      </c>
      <c r="Y41" s="23">
        <f t="shared" si="6"/>
        <v>1.1403433898987425</v>
      </c>
      <c r="Z41" s="23">
        <f t="shared" si="6"/>
        <v>1.1098478220183847</v>
      </c>
    </row>
    <row r="42" spans="1:26" x14ac:dyDescent="0.3">
      <c r="A42" s="69" t="s">
        <v>26</v>
      </c>
      <c r="B42" s="11" t="s">
        <v>175</v>
      </c>
      <c r="C42" s="8" t="s">
        <v>176</v>
      </c>
      <c r="D42" s="23" t="s">
        <v>177</v>
      </c>
      <c r="E42" s="23" t="s">
        <v>30</v>
      </c>
      <c r="F42" s="8">
        <v>5</v>
      </c>
      <c r="G42" s="62" t="s">
        <v>178</v>
      </c>
      <c r="H42" s="23">
        <v>3.6562499590218067</v>
      </c>
      <c r="I42" s="8">
        <v>3.7375000305473804</v>
      </c>
      <c r="J42" s="11">
        <v>3.8212500512599945</v>
      </c>
      <c r="K42" s="23">
        <v>9.2325000092387199</v>
      </c>
      <c r="L42" s="8">
        <v>8.906250074505806</v>
      </c>
      <c r="M42" s="11">
        <v>8.4724999964237213</v>
      </c>
      <c r="N42" s="23">
        <v>9.3017500057518365</v>
      </c>
      <c r="O42" s="8">
        <v>8.906250074505806</v>
      </c>
      <c r="P42" s="11">
        <v>8.4724999964237213</v>
      </c>
      <c r="Q42" s="48">
        <v>39.079925525525503</v>
      </c>
      <c r="R42" s="8">
        <v>42.1647531531532</v>
      </c>
      <c r="S42" s="20">
        <v>43.890265465465497</v>
      </c>
      <c r="T42" s="69">
        <f t="shared" si="0"/>
        <v>72</v>
      </c>
      <c r="U42" s="23">
        <f t="shared" si="1"/>
        <v>8.8184686087235412E-2</v>
      </c>
      <c r="V42" s="8">
        <f t="shared" si="2"/>
        <v>9.8631000702739779E-2</v>
      </c>
      <c r="W42" s="11">
        <f t="shared" si="3"/>
        <v>0.10792334386739394</v>
      </c>
      <c r="X42" s="23">
        <f t="shared" si="6"/>
        <v>1.6023916354921461</v>
      </c>
      <c r="Y42" s="23">
        <f t="shared" si="6"/>
        <v>1.7922101618635466</v>
      </c>
      <c r="Z42" s="23">
        <f t="shared" si="6"/>
        <v>1.9610600338972777</v>
      </c>
    </row>
    <row r="43" spans="1:26" x14ac:dyDescent="0.3">
      <c r="A43" s="69" t="s">
        <v>26</v>
      </c>
      <c r="B43" s="11" t="s">
        <v>179</v>
      </c>
      <c r="C43" s="8" t="s">
        <v>180</v>
      </c>
      <c r="D43" s="23" t="s">
        <v>181</v>
      </c>
      <c r="E43" s="23" t="s">
        <v>30</v>
      </c>
      <c r="F43" s="8">
        <v>5</v>
      </c>
      <c r="G43" s="11" t="s">
        <v>182</v>
      </c>
      <c r="H43" s="23">
        <v>5.4537499323487282</v>
      </c>
      <c r="I43" s="8">
        <v>5.6049998849630356</v>
      </c>
      <c r="J43" s="11">
        <v>5.3874999284744263</v>
      </c>
      <c r="K43" s="23">
        <v>12.170000188052654</v>
      </c>
      <c r="L43" s="8">
        <v>12.051250040531158</v>
      </c>
      <c r="M43" s="11">
        <v>12.040000036358833</v>
      </c>
      <c r="N43" s="23">
        <v>12.14951262260675</v>
      </c>
      <c r="O43" s="8">
        <v>12.051250040531158</v>
      </c>
      <c r="P43" s="11">
        <v>12.040000036358833</v>
      </c>
      <c r="Q43" s="48">
        <v>35.500009609609599</v>
      </c>
      <c r="R43" s="8">
        <v>31.1987843843844</v>
      </c>
      <c r="S43" s="20">
        <v>26.704509309309302</v>
      </c>
      <c r="T43" s="69">
        <f t="shared" si="0"/>
        <v>72</v>
      </c>
      <c r="U43" s="23">
        <f t="shared" si="1"/>
        <v>6.0771037149168317E-2</v>
      </c>
      <c r="V43" s="8">
        <f t="shared" si="2"/>
        <v>5.3934212010261086E-2</v>
      </c>
      <c r="W43" s="11">
        <f t="shared" si="3"/>
        <v>4.6207968626567765E-2</v>
      </c>
      <c r="X43" s="23">
        <f t="shared" si="6"/>
        <v>1.1042620428639849</v>
      </c>
      <c r="Y43" s="23">
        <f t="shared" si="6"/>
        <v>0.98003104650856276</v>
      </c>
      <c r="Z43" s="23">
        <f t="shared" si="6"/>
        <v>0.83963855523678443</v>
      </c>
    </row>
    <row r="44" spans="1:26" x14ac:dyDescent="0.3">
      <c r="A44" s="69" t="s">
        <v>26</v>
      </c>
      <c r="B44" s="11" t="s">
        <v>183</v>
      </c>
      <c r="C44" s="8" t="s">
        <v>184</v>
      </c>
      <c r="D44" s="23" t="s">
        <v>185</v>
      </c>
      <c r="E44" s="23" t="s">
        <v>30</v>
      </c>
      <c r="F44" s="8">
        <v>5</v>
      </c>
      <c r="G44" s="62" t="s">
        <v>186</v>
      </c>
      <c r="H44" s="23">
        <v>5.3562500514090061</v>
      </c>
      <c r="I44" s="8">
        <v>5.1837499253451824</v>
      </c>
      <c r="J44" s="11">
        <v>5.0649998709559441</v>
      </c>
      <c r="K44" s="23">
        <v>11.508749984204769</v>
      </c>
      <c r="L44" s="8">
        <v>12.126250192523003</v>
      </c>
      <c r="M44" s="11">
        <v>11.497500166296959</v>
      </c>
      <c r="N44" s="23">
        <v>11.593212615633</v>
      </c>
      <c r="O44" s="8">
        <v>12.126250192523003</v>
      </c>
      <c r="P44" s="11">
        <v>11.497500166296959</v>
      </c>
      <c r="Q44" s="48">
        <v>44.619252852852902</v>
      </c>
      <c r="R44" s="8">
        <v>39.494158558558603</v>
      </c>
      <c r="S44" s="20">
        <v>46.207266066066097</v>
      </c>
      <c r="T44" s="69">
        <f t="shared" si="0"/>
        <v>72</v>
      </c>
      <c r="U44" s="23">
        <f t="shared" si="1"/>
        <v>8.0770524083289483E-2</v>
      </c>
      <c r="V44" s="8">
        <f t="shared" si="2"/>
        <v>6.7852382798212665E-2</v>
      </c>
      <c r="W44" s="11">
        <f t="shared" si="3"/>
        <v>8.3727015651474571E-2</v>
      </c>
      <c r="X44" s="23">
        <f t="shared" si="6"/>
        <v>1.4676699314589297</v>
      </c>
      <c r="Y44" s="23">
        <f t="shared" si="6"/>
        <v>1.2329361873161455</v>
      </c>
      <c r="Z44" s="23">
        <f t="shared" si="6"/>
        <v>1.521391927527231</v>
      </c>
    </row>
    <row r="45" spans="1:26" x14ac:dyDescent="0.3">
      <c r="A45" s="69" t="s">
        <v>26</v>
      </c>
      <c r="B45" s="11" t="s">
        <v>187</v>
      </c>
      <c r="C45" s="8" t="s">
        <v>188</v>
      </c>
      <c r="D45" s="23" t="s">
        <v>189</v>
      </c>
      <c r="E45" s="23" t="s">
        <v>30</v>
      </c>
      <c r="F45" s="8">
        <v>5</v>
      </c>
      <c r="G45" s="11" t="s">
        <v>190</v>
      </c>
      <c r="H45" s="23">
        <v>4.8462499864399433</v>
      </c>
      <c r="I45" s="8">
        <v>5.0500000827014446</v>
      </c>
      <c r="J45" s="11">
        <v>4.6687498688697815</v>
      </c>
      <c r="K45" s="23">
        <v>11.462500132620335</v>
      </c>
      <c r="L45" s="8">
        <v>11.97500005364418</v>
      </c>
      <c r="M45" s="11">
        <v>11.907500028610229</v>
      </c>
      <c r="N45" s="23">
        <v>10.923297632620326</v>
      </c>
      <c r="O45" s="8">
        <v>11.97500005364418</v>
      </c>
      <c r="P45" s="11">
        <v>11.907500028610229</v>
      </c>
      <c r="Q45" s="48">
        <v>40.253429429429403</v>
      </c>
      <c r="R45" s="8">
        <v>56.736341141141097</v>
      </c>
      <c r="S45" s="20">
        <v>44.415081081081098</v>
      </c>
      <c r="T45" s="69">
        <f t="shared" si="0"/>
        <v>72</v>
      </c>
      <c r="U45" s="23">
        <f t="shared" si="1"/>
        <v>7.3161448498182485E-2</v>
      </c>
      <c r="V45" s="8">
        <f t="shared" si="2"/>
        <v>9.8706229796416814E-2</v>
      </c>
      <c r="W45" s="11">
        <f t="shared" si="3"/>
        <v>7.7708518745826669E-2</v>
      </c>
      <c r="X45" s="23">
        <f t="shared" si="6"/>
        <v>1.3294064799188119</v>
      </c>
      <c r="Y45" s="23">
        <f t="shared" si="6"/>
        <v>1.7935771392357229</v>
      </c>
      <c r="Z45" s="23">
        <f t="shared" si="6"/>
        <v>1.4120306594006382</v>
      </c>
    </row>
    <row r="46" spans="1:26" x14ac:dyDescent="0.3">
      <c r="A46" s="69" t="s">
        <v>26</v>
      </c>
      <c r="B46" s="11" t="s">
        <v>191</v>
      </c>
      <c r="C46" s="8" t="s">
        <v>192</v>
      </c>
      <c r="D46" s="23" t="s">
        <v>193</v>
      </c>
      <c r="E46" s="23" t="s">
        <v>30</v>
      </c>
      <c r="F46" s="8">
        <v>5</v>
      </c>
      <c r="G46" s="62" t="s">
        <v>194</v>
      </c>
      <c r="H46" s="23">
        <v>5.130000039935112</v>
      </c>
      <c r="I46" s="8">
        <v>5.2699999883770943</v>
      </c>
      <c r="J46" s="11">
        <v>4.7474999912083149</v>
      </c>
      <c r="K46" s="23">
        <v>11.386249959468842</v>
      </c>
      <c r="L46" s="8">
        <v>12.412500195205212</v>
      </c>
      <c r="M46" s="11">
        <v>11.539999954402447</v>
      </c>
      <c r="N46" s="23">
        <v>12.398875777542639</v>
      </c>
      <c r="O46" s="8">
        <v>12.412500195205212</v>
      </c>
      <c r="P46" s="11">
        <v>11.539999954402447</v>
      </c>
      <c r="Q46" s="48">
        <v>36.743419819819799</v>
      </c>
      <c r="R46" s="8">
        <v>35.866492492492497</v>
      </c>
      <c r="S46" s="20">
        <v>39.827870270270303</v>
      </c>
      <c r="T46" s="69">
        <f t="shared" si="0"/>
        <v>72</v>
      </c>
      <c r="U46" s="23">
        <f t="shared" si="1"/>
        <v>6.7229150566498003E-2</v>
      </c>
      <c r="V46" s="8">
        <f t="shared" si="2"/>
        <v>6.0198878698284698E-2</v>
      </c>
      <c r="W46" s="11">
        <f t="shared" si="3"/>
        <v>7.1901845803799505E-2</v>
      </c>
      <c r="X46" s="23">
        <f t="shared" si="6"/>
        <v>1.2216115213295731</v>
      </c>
      <c r="Y46" s="23">
        <f t="shared" si="6"/>
        <v>1.0938654314277871</v>
      </c>
      <c r="Z46" s="23">
        <f t="shared" si="6"/>
        <v>1.3065184149828433</v>
      </c>
    </row>
    <row r="47" spans="1:26" x14ac:dyDescent="0.3">
      <c r="A47" s="69" t="s">
        <v>26</v>
      </c>
      <c r="B47" s="11" t="s">
        <v>195</v>
      </c>
      <c r="C47" s="8" t="s">
        <v>196</v>
      </c>
      <c r="D47" s="23" t="s">
        <v>195</v>
      </c>
      <c r="E47" s="23" t="s">
        <v>30</v>
      </c>
      <c r="F47" s="8">
        <v>5</v>
      </c>
      <c r="G47" s="11" t="s">
        <v>197</v>
      </c>
      <c r="H47" s="23">
        <v>6.3687500543892384</v>
      </c>
      <c r="I47" s="8">
        <v>6.4575000666081905</v>
      </c>
      <c r="J47" s="11">
        <v>5.9737499803304672</v>
      </c>
      <c r="K47" s="23">
        <v>12.951250001788139</v>
      </c>
      <c r="L47" s="8">
        <v>12.978750094771385</v>
      </c>
      <c r="M47" s="11">
        <v>13.159999996423721</v>
      </c>
      <c r="N47" s="23">
        <v>13.356373660683627</v>
      </c>
      <c r="O47" s="8">
        <v>12.978750094771385</v>
      </c>
      <c r="P47" s="11">
        <v>13.159999996423721</v>
      </c>
      <c r="Q47" s="48">
        <v>45.996442042041998</v>
      </c>
      <c r="R47" s="8">
        <v>43.290939339339303</v>
      </c>
      <c r="S47" s="20">
        <v>47.787606006006001</v>
      </c>
      <c r="T47" s="69">
        <f t="shared" si="0"/>
        <v>72</v>
      </c>
      <c r="U47" s="23">
        <f t="shared" si="1"/>
        <v>7.3989708258037204E-2</v>
      </c>
      <c r="V47" s="8">
        <f t="shared" si="2"/>
        <v>6.9490094422336224E-2</v>
      </c>
      <c r="W47" s="11">
        <f t="shared" si="3"/>
        <v>7.5651605273227687E-2</v>
      </c>
      <c r="X47" s="23">
        <f t="shared" si="6"/>
        <v>1.344456672532675</v>
      </c>
      <c r="Y47" s="23">
        <f t="shared" si="6"/>
        <v>1.2626948168955243</v>
      </c>
      <c r="Z47" s="23">
        <f t="shared" si="6"/>
        <v>1.3746547714810144</v>
      </c>
    </row>
    <row r="48" spans="1:26" x14ac:dyDescent="0.3">
      <c r="A48" s="69" t="s">
        <v>26</v>
      </c>
      <c r="B48" s="11" t="s">
        <v>198</v>
      </c>
      <c r="C48" s="8" t="s">
        <v>199</v>
      </c>
      <c r="D48" s="23" t="s">
        <v>200</v>
      </c>
      <c r="E48" s="23" t="s">
        <v>30</v>
      </c>
      <c r="F48" s="8">
        <v>5</v>
      </c>
      <c r="G48" s="62" t="s">
        <v>201</v>
      </c>
      <c r="H48" s="23">
        <v>4.2887500487267971</v>
      </c>
      <c r="I48" s="8">
        <v>4.4775000773370266</v>
      </c>
      <c r="J48" s="11">
        <v>4.1025000624358654</v>
      </c>
      <c r="K48" s="23">
        <v>10.604999959468842</v>
      </c>
      <c r="L48" s="8">
        <v>9.7950002178549767</v>
      </c>
      <c r="M48" s="11">
        <v>9.4425002112984657</v>
      </c>
      <c r="N48" s="23">
        <v>11.191480536794595</v>
      </c>
      <c r="O48" s="8">
        <v>9.7950002178549767</v>
      </c>
      <c r="P48" s="11">
        <v>9.4425002112984657</v>
      </c>
      <c r="Q48" s="48">
        <v>50.140983783783803</v>
      </c>
      <c r="R48" s="8">
        <v>51.115768168168202</v>
      </c>
      <c r="S48" s="20">
        <v>49.088196996996999</v>
      </c>
      <c r="T48" s="69">
        <f t="shared" si="0"/>
        <v>72</v>
      </c>
      <c r="U48" s="23">
        <f t="shared" si="1"/>
        <v>9.8501068630003921E-2</v>
      </c>
      <c r="V48" s="8">
        <f t="shared" si="2"/>
        <v>0.10871994008694819</v>
      </c>
      <c r="W48" s="11">
        <f t="shared" si="3"/>
        <v>0.10830508317564976</v>
      </c>
      <c r="X48" s="23">
        <f t="shared" si="6"/>
        <v>1.7898491842860096</v>
      </c>
      <c r="Y48" s="23">
        <f t="shared" si="6"/>
        <v>1.9755348727351194</v>
      </c>
      <c r="Z48" s="23">
        <f t="shared" si="6"/>
        <v>1.9679965656425125</v>
      </c>
    </row>
    <row r="49" spans="1:26" x14ac:dyDescent="0.3">
      <c r="A49" s="69" t="s">
        <v>26</v>
      </c>
      <c r="B49" s="11" t="s">
        <v>202</v>
      </c>
      <c r="C49" s="8" t="s">
        <v>203</v>
      </c>
      <c r="D49" s="23" t="s">
        <v>204</v>
      </c>
      <c r="E49" s="23" t="s">
        <v>30</v>
      </c>
      <c r="F49" s="8">
        <v>5</v>
      </c>
      <c r="G49" s="11" t="s">
        <v>205</v>
      </c>
      <c r="H49" s="23">
        <v>4.4274999760091305</v>
      </c>
      <c r="I49" s="8">
        <v>4.5424999669194221</v>
      </c>
      <c r="J49" s="11">
        <v>4.3687500059604645</v>
      </c>
      <c r="K49" s="23">
        <v>10.73750015348196</v>
      </c>
      <c r="L49" s="8">
        <v>10.546250082552433</v>
      </c>
      <c r="M49" s="11">
        <v>10.114999860525131</v>
      </c>
      <c r="N49" s="23">
        <v>11.625361533244192</v>
      </c>
      <c r="O49" s="8">
        <v>10.546250082552433</v>
      </c>
      <c r="P49" s="11">
        <v>10.114999860525131</v>
      </c>
      <c r="Q49" s="48">
        <v>37.481891891891898</v>
      </c>
      <c r="R49" s="8">
        <v>36.858946546546498</v>
      </c>
      <c r="S49" s="20">
        <v>37.453783783783798</v>
      </c>
      <c r="T49" s="69">
        <f t="shared" si="0"/>
        <v>72</v>
      </c>
      <c r="U49" s="23">
        <f t="shared" si="1"/>
        <v>7.2723886992870149E-2</v>
      </c>
      <c r="V49" s="8">
        <f t="shared" si="2"/>
        <v>7.2812109869280731E-2</v>
      </c>
      <c r="W49" s="11">
        <f t="shared" si="3"/>
        <v>7.7141589018435541E-2</v>
      </c>
      <c r="X49" s="23">
        <f t="shared" si="6"/>
        <v>1.3214556108140305</v>
      </c>
      <c r="Y49" s="23">
        <f t="shared" si="6"/>
        <v>1.3230586964005635</v>
      </c>
      <c r="Z49" s="23">
        <f t="shared" si="6"/>
        <v>1.4017290583699931</v>
      </c>
    </row>
    <row r="50" spans="1:26" x14ac:dyDescent="0.3">
      <c r="A50" s="69" t="s">
        <v>26</v>
      </c>
      <c r="B50" s="11" t="s">
        <v>206</v>
      </c>
      <c r="C50" s="8" t="s">
        <v>207</v>
      </c>
      <c r="D50" s="23" t="s">
        <v>208</v>
      </c>
      <c r="E50" s="23" t="s">
        <v>30</v>
      </c>
      <c r="F50" s="8">
        <v>5</v>
      </c>
      <c r="G50" s="62" t="s">
        <v>209</v>
      </c>
      <c r="H50" s="23">
        <v>5.917500052601099</v>
      </c>
      <c r="I50" s="8">
        <v>5.4487500339746475</v>
      </c>
      <c r="J50" s="11">
        <v>5.6700000539422035</v>
      </c>
      <c r="K50" s="23">
        <v>12.562499940395355</v>
      </c>
      <c r="L50" s="8">
        <v>12.483750097453594</v>
      </c>
      <c r="M50" s="11">
        <v>11.999999731779099</v>
      </c>
      <c r="N50" s="23">
        <v>10.6599728985439</v>
      </c>
      <c r="O50" s="8">
        <v>10.4837500974535</v>
      </c>
      <c r="P50" s="11">
        <v>10.999999731779001</v>
      </c>
      <c r="Q50" s="48">
        <v>51.598702702702703</v>
      </c>
      <c r="R50" s="8">
        <v>51.745632432432402</v>
      </c>
      <c r="S50" s="20">
        <v>53.431837837837797</v>
      </c>
      <c r="T50" s="69">
        <f t="shared" si="0"/>
        <v>72</v>
      </c>
      <c r="U50" s="23">
        <f t="shared" si="1"/>
        <v>8.5569988304345604E-2</v>
      </c>
      <c r="V50" s="8">
        <f t="shared" si="2"/>
        <v>8.6354981523452889E-2</v>
      </c>
      <c r="W50" s="11">
        <f t="shared" si="3"/>
        <v>9.2763609430785529E-2</v>
      </c>
      <c r="X50" s="23">
        <f t="shared" si="6"/>
        <v>1.5548803266408813</v>
      </c>
      <c r="Y50" s="23">
        <f t="shared" si="6"/>
        <v>1.5691443289753824</v>
      </c>
      <c r="Z50" s="23">
        <f t="shared" si="6"/>
        <v>1.6855946131384714</v>
      </c>
    </row>
    <row r="51" spans="1:26" x14ac:dyDescent="0.3">
      <c r="A51" s="69" t="s">
        <v>26</v>
      </c>
      <c r="B51" s="11" t="s">
        <v>210</v>
      </c>
      <c r="C51" s="8" t="s">
        <v>211</v>
      </c>
      <c r="D51" s="23" t="s">
        <v>211</v>
      </c>
      <c r="E51" s="23" t="s">
        <v>30</v>
      </c>
      <c r="F51" s="8">
        <v>5</v>
      </c>
      <c r="G51" s="11" t="s">
        <v>212</v>
      </c>
      <c r="H51" s="23">
        <v>5.9349999763071537</v>
      </c>
      <c r="I51" s="8">
        <v>5.5962500162422657</v>
      </c>
      <c r="J51" s="11">
        <v>5.4149999283254147</v>
      </c>
      <c r="K51" s="23">
        <v>12.468750029802322</v>
      </c>
      <c r="L51" s="8">
        <v>12.034999765455723</v>
      </c>
      <c r="M51" s="11">
        <v>12.160000018775463</v>
      </c>
      <c r="N51" s="23">
        <v>12.701590691832154</v>
      </c>
      <c r="O51" s="8">
        <v>12.034999765455723</v>
      </c>
      <c r="P51" s="11">
        <v>12.160000018775463</v>
      </c>
      <c r="Q51" s="48">
        <v>22.767578378378381</v>
      </c>
      <c r="R51" s="8">
        <v>19.051141141141141</v>
      </c>
      <c r="S51" s="20">
        <v>18.172138138138138</v>
      </c>
      <c r="T51" s="69">
        <f t="shared" si="0"/>
        <v>72</v>
      </c>
      <c r="U51" s="23">
        <f t="shared" si="1"/>
        <v>3.8041066539616038E-2</v>
      </c>
      <c r="V51" s="8">
        <f t="shared" si="2"/>
        <v>3.2978710553281394E-2</v>
      </c>
      <c r="W51" s="11">
        <f t="shared" si="3"/>
        <v>3.1133734426534613E-2</v>
      </c>
      <c r="X51" s="23">
        <f t="shared" si="6"/>
        <v>0.69123891610818222</v>
      </c>
      <c r="Y51" s="23">
        <f t="shared" si="6"/>
        <v>0.59925155131378161</v>
      </c>
      <c r="Z51" s="23">
        <f t="shared" si="6"/>
        <v>0.56572674735567496</v>
      </c>
    </row>
    <row r="52" spans="1:26" x14ac:dyDescent="0.3">
      <c r="A52" s="69" t="s">
        <v>26</v>
      </c>
      <c r="B52" s="11" t="s">
        <v>213</v>
      </c>
      <c r="C52" s="8" t="s">
        <v>214</v>
      </c>
      <c r="D52" s="23" t="s">
        <v>215</v>
      </c>
      <c r="E52" s="23" t="s">
        <v>30</v>
      </c>
      <c r="F52" s="8">
        <v>5</v>
      </c>
      <c r="G52" s="62" t="s">
        <v>216</v>
      </c>
      <c r="H52" s="23">
        <v>4.9787499010562897</v>
      </c>
      <c r="I52" s="8">
        <v>4.8249999992549419</v>
      </c>
      <c r="J52" s="11">
        <v>4.9562499858438969</v>
      </c>
      <c r="K52" s="23">
        <v>11.888749897480011</v>
      </c>
      <c r="L52" s="8">
        <v>11.246250011026859</v>
      </c>
      <c r="M52" s="11">
        <v>10.982500016689301</v>
      </c>
      <c r="N52" s="23">
        <v>11.888749897480011</v>
      </c>
      <c r="O52" s="8">
        <v>11.246250011026859</v>
      </c>
      <c r="P52" s="11">
        <v>10.982500016689301</v>
      </c>
      <c r="Q52" s="48">
        <v>18.652291891891892</v>
      </c>
      <c r="R52" s="8">
        <v>18.051781381381382</v>
      </c>
      <c r="S52" s="20">
        <v>17.062440840840843</v>
      </c>
      <c r="T52" s="69">
        <f t="shared" si="0"/>
        <v>72</v>
      </c>
      <c r="U52" s="23">
        <f t="shared" si="1"/>
        <v>3.2685473053544634E-2</v>
      </c>
      <c r="V52" s="8">
        <f t="shared" si="2"/>
        <v>3.3440371538071494E-2</v>
      </c>
      <c r="W52" s="11">
        <f t="shared" si="3"/>
        <v>3.2366721327324342E-2</v>
      </c>
      <c r="X52" s="23">
        <f t="shared" si="6"/>
        <v>0.59392317359153179</v>
      </c>
      <c r="Y52" s="23">
        <f t="shared" si="6"/>
        <v>0.60764032870001539</v>
      </c>
      <c r="Z52" s="23">
        <f t="shared" si="6"/>
        <v>0.58813118041724288</v>
      </c>
    </row>
    <row r="53" spans="1:26" x14ac:dyDescent="0.3">
      <c r="A53" s="69" t="s">
        <v>26</v>
      </c>
      <c r="B53" s="11" t="s">
        <v>217</v>
      </c>
      <c r="C53" s="8" t="s">
        <v>218</v>
      </c>
      <c r="D53" s="23" t="s">
        <v>219</v>
      </c>
      <c r="E53" s="23" t="s">
        <v>30</v>
      </c>
      <c r="F53" s="8">
        <v>5</v>
      </c>
      <c r="G53" s="11" t="s">
        <v>220</v>
      </c>
      <c r="H53" s="23">
        <v>6.6562500782310963</v>
      </c>
      <c r="I53" s="8">
        <v>6.3199999742209911</v>
      </c>
      <c r="J53" s="11">
        <v>5.8450000360608101</v>
      </c>
      <c r="K53" s="23">
        <v>12.830000184476376</v>
      </c>
      <c r="L53" s="8">
        <v>12.565000168979168</v>
      </c>
      <c r="M53" s="11">
        <v>12.525000050663948</v>
      </c>
      <c r="N53" s="23">
        <v>12.830000184476376</v>
      </c>
      <c r="O53" s="8">
        <v>12.565000168979168</v>
      </c>
      <c r="P53" s="11">
        <v>12.525000050663948</v>
      </c>
      <c r="Q53" s="48">
        <v>29.846957357357358</v>
      </c>
      <c r="R53" s="8">
        <v>27.57022702702703</v>
      </c>
      <c r="S53" s="20">
        <v>24.971225225225222</v>
      </c>
      <c r="T53" s="69">
        <f t="shared" si="0"/>
        <v>72</v>
      </c>
      <c r="U53" s="23">
        <f t="shared" si="1"/>
        <v>4.8465440582297958E-2</v>
      </c>
      <c r="V53" s="8">
        <f t="shared" si="2"/>
        <v>4.5712671866712344E-2</v>
      </c>
      <c r="W53" s="11">
        <f t="shared" si="3"/>
        <v>4.1535637265828297E-2</v>
      </c>
      <c r="X53" s="23">
        <f t="shared" si="6"/>
        <v>0.88065876338995219</v>
      </c>
      <c r="Y53" s="23">
        <f t="shared" si="6"/>
        <v>0.83063858687160164</v>
      </c>
      <c r="Z53" s="23">
        <f t="shared" si="6"/>
        <v>0.75473827353378842</v>
      </c>
    </row>
    <row r="54" spans="1:26" x14ac:dyDescent="0.3">
      <c r="A54" s="69" t="s">
        <v>26</v>
      </c>
      <c r="B54" s="11" t="s">
        <v>221</v>
      </c>
      <c r="C54" s="8" t="s">
        <v>222</v>
      </c>
      <c r="D54" s="23" t="s">
        <v>223</v>
      </c>
      <c r="E54" s="23" t="s">
        <v>30</v>
      </c>
      <c r="F54" s="8">
        <v>5</v>
      </c>
      <c r="G54" s="62" t="s">
        <v>224</v>
      </c>
      <c r="H54" s="23">
        <v>5.4737499915063381</v>
      </c>
      <c r="I54" s="8">
        <v>5.312499962747097</v>
      </c>
      <c r="J54" s="11">
        <v>5.3474999964237213</v>
      </c>
      <c r="K54" s="23">
        <v>11.908750049769878</v>
      </c>
      <c r="L54" s="8">
        <v>12.144999764859676</v>
      </c>
      <c r="M54" s="11">
        <v>11.763750016689301</v>
      </c>
      <c r="N54" s="23">
        <v>11.901691507246065</v>
      </c>
      <c r="O54" s="8">
        <v>12.144999764859676</v>
      </c>
      <c r="P54" s="11">
        <v>11.763750016689301</v>
      </c>
      <c r="Q54" s="48">
        <v>34.597276876876897</v>
      </c>
      <c r="R54" s="8">
        <v>36.979851051051099</v>
      </c>
      <c r="S54" s="20">
        <v>33.797621621621602</v>
      </c>
      <c r="T54" s="69">
        <f t="shared" si="0"/>
        <v>72</v>
      </c>
      <c r="U54" s="23">
        <f t="shared" si="1"/>
        <v>6.0524958420428855E-2</v>
      </c>
      <c r="V54" s="8">
        <f t="shared" si="2"/>
        <v>6.3434629763656145E-2</v>
      </c>
      <c r="W54" s="11">
        <f t="shared" si="3"/>
        <v>5.9854818074013959E-2</v>
      </c>
      <c r="X54" s="23">
        <f t="shared" si="6"/>
        <v>1.099790580594282</v>
      </c>
      <c r="Y54" s="23">
        <f t="shared" si="6"/>
        <v>1.1526618128829174</v>
      </c>
      <c r="Z54" s="23">
        <f t="shared" si="6"/>
        <v>1.0876135537957881</v>
      </c>
    </row>
    <row r="55" spans="1:26" x14ac:dyDescent="0.3">
      <c r="A55" s="69" t="s">
        <v>26</v>
      </c>
      <c r="B55" s="11" t="s">
        <v>225</v>
      </c>
      <c r="C55" s="8" t="s">
        <v>226</v>
      </c>
      <c r="D55" s="23" t="s">
        <v>227</v>
      </c>
      <c r="E55" s="23" t="s">
        <v>30</v>
      </c>
      <c r="F55" s="8">
        <v>5</v>
      </c>
      <c r="G55" s="11" t="s">
        <v>228</v>
      </c>
      <c r="H55" s="23">
        <v>6.0812501236796379</v>
      </c>
      <c r="I55" s="8">
        <v>5.9875000268220901</v>
      </c>
      <c r="J55" s="11">
        <v>5.7587500661611557</v>
      </c>
      <c r="K55" s="23">
        <v>12.732500210404396</v>
      </c>
      <c r="L55" s="8">
        <v>12.646249867975712</v>
      </c>
      <c r="M55" s="11">
        <v>12.071250006556511</v>
      </c>
      <c r="N55" s="23">
        <v>12.608037061309767</v>
      </c>
      <c r="O55" s="8">
        <v>12.646249867975712</v>
      </c>
      <c r="P55" s="11">
        <v>12.071250006556511</v>
      </c>
      <c r="Q55" s="48">
        <v>34.664815615615602</v>
      </c>
      <c r="R55" s="8">
        <v>35.244235435435399</v>
      </c>
      <c r="S55" s="20">
        <v>33.900600600600598</v>
      </c>
      <c r="T55" s="69">
        <f t="shared" si="0"/>
        <v>72</v>
      </c>
      <c r="U55" s="23">
        <f t="shared" si="1"/>
        <v>5.6719705220858674E-2</v>
      </c>
      <c r="V55" s="8">
        <f t="shared" si="2"/>
        <v>5.8061078388484864E-2</v>
      </c>
      <c r="W55" s="11">
        <f t="shared" si="3"/>
        <v>5.8507819167766824E-2</v>
      </c>
      <c r="X55" s="23">
        <f t="shared" si="6"/>
        <v>1.0306458552630708</v>
      </c>
      <c r="Y55" s="23">
        <f t="shared" si="6"/>
        <v>1.0550197600672626</v>
      </c>
      <c r="Z55" s="23">
        <f t="shared" si="6"/>
        <v>1.0631374244794998</v>
      </c>
    </row>
    <row r="56" spans="1:26" x14ac:dyDescent="0.3">
      <c r="A56" s="69" t="s">
        <v>26</v>
      </c>
      <c r="B56" s="11" t="s">
        <v>229</v>
      </c>
      <c r="C56" s="8" t="s">
        <v>230</v>
      </c>
      <c r="D56" s="23" t="s">
        <v>231</v>
      </c>
      <c r="E56" s="23" t="s">
        <v>30</v>
      </c>
      <c r="F56" s="8">
        <v>5</v>
      </c>
      <c r="G56" s="62" t="s">
        <v>232</v>
      </c>
      <c r="H56" s="23">
        <v>5.7687499560415745</v>
      </c>
      <c r="I56" s="8">
        <v>5.604999978095293</v>
      </c>
      <c r="J56" s="11">
        <v>5.5975000374019146</v>
      </c>
      <c r="K56" s="23">
        <v>12.223749980330467</v>
      </c>
      <c r="L56" s="8">
        <v>11.992499977350235</v>
      </c>
      <c r="M56" s="11">
        <v>11.910000070929527</v>
      </c>
      <c r="N56" s="23">
        <v>12.304169239769598</v>
      </c>
      <c r="O56" s="8">
        <v>11.992499977350235</v>
      </c>
      <c r="P56" s="11">
        <v>11.910000070929527</v>
      </c>
      <c r="Q56" s="48">
        <v>38.268120120120102</v>
      </c>
      <c r="R56" s="8">
        <v>37.465863063063097</v>
      </c>
      <c r="S56" s="20">
        <v>37.581748948948899</v>
      </c>
      <c r="T56" s="69">
        <f t="shared" si="0"/>
        <v>72</v>
      </c>
      <c r="U56" s="23">
        <f t="shared" si="1"/>
        <v>6.52215976100117E-2</v>
      </c>
      <c r="V56" s="8">
        <f t="shared" si="2"/>
        <v>6.5085579761349807E-2</v>
      </c>
      <c r="W56" s="11">
        <f t="shared" si="3"/>
        <v>6.5739135049559722E-2</v>
      </c>
      <c r="X56" s="23">
        <f t="shared" si="6"/>
        <v>1.1851325564660034</v>
      </c>
      <c r="Y56" s="23">
        <f t="shared" si="6"/>
        <v>1.182660995102641</v>
      </c>
      <c r="Z56" s="23">
        <f t="shared" si="6"/>
        <v>1.1945366571209108</v>
      </c>
    </row>
    <row r="57" spans="1:26" x14ac:dyDescent="0.3">
      <c r="A57" s="69" t="s">
        <v>26</v>
      </c>
      <c r="B57" s="11" t="s">
        <v>233</v>
      </c>
      <c r="C57" s="8" t="s">
        <v>234</v>
      </c>
      <c r="D57" s="23" t="s">
        <v>233</v>
      </c>
      <c r="E57" s="23" t="s">
        <v>30</v>
      </c>
      <c r="F57" s="8">
        <v>5</v>
      </c>
      <c r="G57" s="11" t="s">
        <v>235</v>
      </c>
      <c r="H57" s="23">
        <v>5.9324998408555984</v>
      </c>
      <c r="I57" s="8">
        <v>5.513750109821558</v>
      </c>
      <c r="J57" s="11">
        <v>5.3524999879300594</v>
      </c>
      <c r="K57" s="23">
        <v>12.098750099539757</v>
      </c>
      <c r="L57" s="8">
        <v>11.836250126361847</v>
      </c>
      <c r="M57" s="11">
        <v>11.451249942183495</v>
      </c>
      <c r="N57" s="23">
        <v>12.109450338256314</v>
      </c>
      <c r="O57" s="8">
        <v>11.836250126361847</v>
      </c>
      <c r="P57" s="11">
        <v>11.451249942183495</v>
      </c>
      <c r="Q57" s="48">
        <v>29.5284444444444</v>
      </c>
      <c r="R57" s="8">
        <v>28.029876276276301</v>
      </c>
      <c r="S57" s="20">
        <v>28.8691723723724</v>
      </c>
      <c r="T57" s="69">
        <f t="shared" si="0"/>
        <v>72</v>
      </c>
      <c r="U57" s="23">
        <f t="shared" si="1"/>
        <v>5.0846237905957464E-2</v>
      </c>
      <c r="V57" s="8">
        <f t="shared" si="2"/>
        <v>4.9336212864846657E-2</v>
      </c>
      <c r="W57" s="11">
        <f t="shared" si="3"/>
        <v>5.2521872645145538E-2</v>
      </c>
      <c r="X57" s="23">
        <f t="shared" si="6"/>
        <v>0.92391989960877574</v>
      </c>
      <c r="Y57" s="23">
        <f t="shared" si="6"/>
        <v>0.89648144512625894</v>
      </c>
      <c r="Z57" s="23">
        <f t="shared" si="6"/>
        <v>0.95436762482445447</v>
      </c>
    </row>
    <row r="58" spans="1:26" x14ac:dyDescent="0.3">
      <c r="A58" s="69" t="s">
        <v>26</v>
      </c>
      <c r="B58" s="11" t="s">
        <v>236</v>
      </c>
      <c r="C58" s="8" t="s">
        <v>237</v>
      </c>
      <c r="D58" s="23" t="s">
        <v>236</v>
      </c>
      <c r="E58" s="23" t="s">
        <v>30</v>
      </c>
      <c r="F58" s="8">
        <v>5</v>
      </c>
      <c r="G58" s="62" t="s">
        <v>238</v>
      </c>
      <c r="H58" s="23">
        <v>5.4074999876320362</v>
      </c>
      <c r="I58" s="8">
        <v>5.2950000390410423</v>
      </c>
      <c r="J58" s="11">
        <v>5.3162500262260437</v>
      </c>
      <c r="K58" s="23">
        <v>15.7049997672438</v>
      </c>
      <c r="L58" s="8">
        <v>15.6050001233816</v>
      </c>
      <c r="M58" s="11">
        <v>16.3212499767541</v>
      </c>
      <c r="N58" s="23">
        <v>16.759124131560402</v>
      </c>
      <c r="O58" s="8">
        <v>16.6050001233816</v>
      </c>
      <c r="P58" s="11">
        <v>17.3212499767541</v>
      </c>
      <c r="Q58" s="48">
        <v>19.991451051051047</v>
      </c>
      <c r="R58" s="8">
        <v>18.332038438438438</v>
      </c>
      <c r="S58" s="20">
        <v>18.079442642642643</v>
      </c>
      <c r="T58" s="69">
        <f t="shared" si="0"/>
        <v>72</v>
      </c>
      <c r="U58" s="23">
        <f t="shared" si="1"/>
        <v>2.6519488681065833E-2</v>
      </c>
      <c r="V58" s="8">
        <f t="shared" si="2"/>
        <v>2.4474044501622601E-2</v>
      </c>
      <c r="W58" s="11">
        <f t="shared" si="3"/>
        <v>2.307758631180298E-2</v>
      </c>
      <c r="X58" s="23">
        <f t="shared" si="6"/>
        <v>0.48188193126901163</v>
      </c>
      <c r="Y58" s="23">
        <f t="shared" si="6"/>
        <v>0.44471445027618245</v>
      </c>
      <c r="Z58" s="23">
        <f t="shared" si="6"/>
        <v>0.41933960321409863</v>
      </c>
    </row>
    <row r="59" spans="1:26" x14ac:dyDescent="0.3">
      <c r="A59" s="69" t="s">
        <v>26</v>
      </c>
      <c r="B59" s="11" t="s">
        <v>239</v>
      </c>
      <c r="C59" s="8" t="s">
        <v>240</v>
      </c>
      <c r="D59" s="23" t="s">
        <v>241</v>
      </c>
      <c r="E59" s="23" t="s">
        <v>30</v>
      </c>
      <c r="F59" s="8">
        <v>5</v>
      </c>
      <c r="G59" s="11" t="s">
        <v>242</v>
      </c>
      <c r="H59" s="23">
        <v>5.3812501020729542</v>
      </c>
      <c r="I59" s="8">
        <v>5.1587500609457493</v>
      </c>
      <c r="J59" s="11">
        <v>5.2387500181794167</v>
      </c>
      <c r="K59" s="23">
        <v>11.296249903738399</v>
      </c>
      <c r="L59" s="8">
        <v>11.099999748170299</v>
      </c>
      <c r="M59" s="11">
        <v>11.6374997198581</v>
      </c>
      <c r="N59" s="23">
        <v>12.410387446653877</v>
      </c>
      <c r="O59" s="8">
        <v>12.099999748170376</v>
      </c>
      <c r="P59" s="11">
        <v>12.63749971985817</v>
      </c>
      <c r="Q59" s="48">
        <v>49.24026066066066</v>
      </c>
      <c r="R59" s="8">
        <v>46.385736936936937</v>
      </c>
      <c r="S59" s="20">
        <v>48.967004204204201</v>
      </c>
      <c r="T59" s="69">
        <f t="shared" si="0"/>
        <v>72</v>
      </c>
      <c r="U59" s="23">
        <f t="shared" si="1"/>
        <v>9.0812329091999891E-2</v>
      </c>
      <c r="V59" s="8">
        <f t="shared" si="2"/>
        <v>8.7060319048999427E-2</v>
      </c>
      <c r="W59" s="11">
        <f t="shared" si="3"/>
        <v>8.7660231620040788E-2</v>
      </c>
      <c r="X59" s="23">
        <f t="shared" si="6"/>
        <v>1.6501381701651716</v>
      </c>
      <c r="Y59" s="23">
        <f t="shared" si="6"/>
        <v>1.5819609188084112</v>
      </c>
      <c r="Z59" s="23">
        <f t="shared" si="6"/>
        <v>1.5928618464922986</v>
      </c>
    </row>
    <row r="60" spans="1:26" x14ac:dyDescent="0.3">
      <c r="A60" s="69" t="s">
        <v>26</v>
      </c>
      <c r="B60" s="11" t="s">
        <v>243</v>
      </c>
      <c r="C60" s="8" t="s">
        <v>244</v>
      </c>
      <c r="D60" s="23" t="s">
        <v>245</v>
      </c>
      <c r="E60" s="23" t="s">
        <v>82</v>
      </c>
      <c r="F60" s="8">
        <v>5</v>
      </c>
      <c r="G60" s="62" t="s">
        <v>246</v>
      </c>
      <c r="H60" s="23">
        <v>5.5937499739229679</v>
      </c>
      <c r="I60" s="8">
        <v>5.240000132471323</v>
      </c>
      <c r="J60" s="11">
        <v>5.4849999956786633</v>
      </c>
      <c r="K60" s="23">
        <v>2.3112500086426735</v>
      </c>
      <c r="L60" s="8">
        <v>2.262499975040555</v>
      </c>
      <c r="M60" s="11">
        <v>2.2712499834597111</v>
      </c>
      <c r="N60" s="23">
        <v>2.2818151282581383</v>
      </c>
      <c r="O60" s="8">
        <v>2.262499975040555</v>
      </c>
      <c r="P60" s="11">
        <v>2.2712499834597111</v>
      </c>
      <c r="Q60" s="48">
        <v>22.461863063063063</v>
      </c>
      <c r="R60" s="8">
        <v>17.127332132132132</v>
      </c>
      <c r="S60" s="20">
        <v>17.168343543543543</v>
      </c>
      <c r="T60" s="69">
        <f t="shared" si="0"/>
        <v>72</v>
      </c>
      <c r="U60" s="23">
        <f t="shared" si="1"/>
        <v>0.20246856840697058</v>
      </c>
      <c r="V60" s="8">
        <f t="shared" si="2"/>
        <v>0.15771024236719536</v>
      </c>
      <c r="W60" s="11">
        <f t="shared" si="3"/>
        <v>0.15747884487774108</v>
      </c>
      <c r="X60" s="23">
        <f>U60/AVERAGE($U$68:$W$68)</f>
        <v>3.6790281267708722</v>
      </c>
      <c r="Y60" s="23">
        <f>V60/AVERAGE($U$68:$W$68)</f>
        <v>2.8657308248581814</v>
      </c>
      <c r="Z60" s="23">
        <f t="shared" ref="Z60" si="7">W60/AVERAGE($U$68:$W$68)</f>
        <v>2.8615261333405564</v>
      </c>
    </row>
    <row r="61" spans="1:26" x14ac:dyDescent="0.3">
      <c r="A61" s="69" t="s">
        <v>26</v>
      </c>
      <c r="B61" s="11" t="s">
        <v>247</v>
      </c>
      <c r="C61" s="8" t="s">
        <v>248</v>
      </c>
      <c r="D61" s="23" t="s">
        <v>249</v>
      </c>
      <c r="E61" s="23" t="s">
        <v>82</v>
      </c>
      <c r="F61" s="8">
        <v>5</v>
      </c>
      <c r="G61" s="11" t="s">
        <v>250</v>
      </c>
      <c r="H61" s="23">
        <v>5.6787500157952309</v>
      </c>
      <c r="I61" s="8">
        <v>5.2262499928474426</v>
      </c>
      <c r="J61" s="11">
        <v>5.6137500330805779</v>
      </c>
      <c r="K61" s="23">
        <v>11.311250180006027</v>
      </c>
      <c r="L61" s="8">
        <v>10.64625009894371</v>
      </c>
      <c r="M61" s="11">
        <v>10.792499966919422</v>
      </c>
      <c r="N61" s="23">
        <v>11.177625180006027</v>
      </c>
      <c r="O61" s="8">
        <v>10.64625009894371</v>
      </c>
      <c r="P61" s="11">
        <v>10.792499966919422</v>
      </c>
      <c r="Q61" s="48">
        <v>35.709642042041999</v>
      </c>
      <c r="R61" s="8">
        <v>32.913535135135099</v>
      </c>
      <c r="S61" s="20">
        <v>33.766941741741697</v>
      </c>
      <c r="T61" s="69">
        <f t="shared" si="0"/>
        <v>72</v>
      </c>
      <c r="U61" s="23">
        <f t="shared" si="1"/>
        <v>6.5770879791068201E-2</v>
      </c>
      <c r="V61" s="8">
        <f t="shared" si="2"/>
        <v>6.44075277469464E-2</v>
      </c>
      <c r="W61" s="11">
        <f t="shared" si="3"/>
        <v>6.5182113051583404E-2</v>
      </c>
      <c r="X61" s="23">
        <f t="shared" ref="X61:Z68" si="8">U61/AVERAGE($U$68:$W$68)</f>
        <v>1.195113486392761</v>
      </c>
      <c r="Y61" s="23">
        <f t="shared" si="8"/>
        <v>1.1703402064882344</v>
      </c>
      <c r="Z61" s="23">
        <f>W61/AVERAGE($U$68:$W$68)</f>
        <v>1.184415088060049</v>
      </c>
    </row>
    <row r="62" spans="1:26" x14ac:dyDescent="0.3">
      <c r="A62" s="69" t="s">
        <v>26</v>
      </c>
      <c r="B62" s="11" t="s">
        <v>251</v>
      </c>
      <c r="C62" s="8" t="s">
        <v>252</v>
      </c>
      <c r="D62" s="23" t="s">
        <v>253</v>
      </c>
      <c r="E62" s="23" t="s">
        <v>82</v>
      </c>
      <c r="F62" s="8">
        <v>5</v>
      </c>
      <c r="G62" s="62" t="s">
        <v>254</v>
      </c>
      <c r="H62" s="23">
        <v>4.9750000238418579</v>
      </c>
      <c r="I62" s="8">
        <v>4.6974999830126762</v>
      </c>
      <c r="J62" s="11">
        <v>5.065000057220459</v>
      </c>
      <c r="K62" s="23">
        <v>6.2699999660253525</v>
      </c>
      <c r="L62" s="8">
        <v>6.0887498781085014</v>
      </c>
      <c r="M62" s="11">
        <v>6.3387500122189522</v>
      </c>
      <c r="N62" s="23">
        <v>6.1449999660253525</v>
      </c>
      <c r="O62" s="8">
        <v>6.0887498781085014</v>
      </c>
      <c r="P62" s="11">
        <v>6.3387500122189522</v>
      </c>
      <c r="Q62" s="48">
        <v>4.813425825825826</v>
      </c>
      <c r="R62" s="8">
        <v>4.7292492492492482</v>
      </c>
      <c r="S62" s="20">
        <v>5.7494498498498503</v>
      </c>
      <c r="T62" s="69">
        <f t="shared" si="0"/>
        <v>72</v>
      </c>
      <c r="U62" s="23">
        <f t="shared" si="1"/>
        <v>1.5993573404797564E-2</v>
      </c>
      <c r="V62" s="8">
        <f t="shared" si="2"/>
        <v>1.6181651077549857E-2</v>
      </c>
      <c r="W62" s="11">
        <f t="shared" si="3"/>
        <v>1.8896502460944153E-2</v>
      </c>
      <c r="X62" s="23">
        <f t="shared" si="8"/>
        <v>0.29061699238941746</v>
      </c>
      <c r="Y62" s="23">
        <f t="shared" si="8"/>
        <v>0.29403452555773846</v>
      </c>
      <c r="Z62" s="23">
        <f t="shared" si="8"/>
        <v>0.34336571151957179</v>
      </c>
    </row>
    <row r="63" spans="1:26" x14ac:dyDescent="0.3">
      <c r="A63" s="69" t="s">
        <v>26</v>
      </c>
      <c r="B63" s="11" t="s">
        <v>255</v>
      </c>
      <c r="C63" s="8">
        <v>0</v>
      </c>
      <c r="D63" s="23" t="s">
        <v>256</v>
      </c>
      <c r="E63" s="23" t="s">
        <v>82</v>
      </c>
      <c r="F63" s="8">
        <v>5</v>
      </c>
      <c r="G63" s="11" t="s">
        <v>257</v>
      </c>
      <c r="H63" s="23">
        <v>6.1162499710917473</v>
      </c>
      <c r="I63" s="8">
        <v>5.8325000107288361</v>
      </c>
      <c r="J63" s="11">
        <v>5.7799999602138996</v>
      </c>
      <c r="K63" s="23">
        <v>12.333749979734421</v>
      </c>
      <c r="L63" s="8">
        <v>12.000000104308128</v>
      </c>
      <c r="M63" s="11">
        <v>12.28875033557415</v>
      </c>
      <c r="N63" s="23">
        <v>11.944500548362749</v>
      </c>
      <c r="O63" s="8">
        <v>12.000000104308128</v>
      </c>
      <c r="P63" s="11">
        <v>12.28875033557415</v>
      </c>
      <c r="Q63" s="48">
        <v>42.6803303303303</v>
      </c>
      <c r="R63" s="8">
        <v>41.450430030029999</v>
      </c>
      <c r="S63" s="20">
        <v>42.641329729729698</v>
      </c>
      <c r="T63" s="69">
        <f t="shared" si="0"/>
        <v>72</v>
      </c>
      <c r="U63" s="23">
        <f t="shared" si="1"/>
        <v>7.2092717138708712E-2</v>
      </c>
      <c r="V63" s="8">
        <f t="shared" si="2"/>
        <v>7.1962551509945502E-2</v>
      </c>
      <c r="W63" s="11">
        <f t="shared" si="3"/>
        <v>7.2290591946062979E-2</v>
      </c>
      <c r="X63" s="23">
        <f t="shared" si="8"/>
        <v>1.3099867113967034</v>
      </c>
      <c r="Y63" s="23">
        <f t="shared" si="8"/>
        <v>1.3076214899051575</v>
      </c>
      <c r="Z63" s="23">
        <f t="shared" si="8"/>
        <v>1.3135822669318837</v>
      </c>
    </row>
    <row r="64" spans="1:26" x14ac:dyDescent="0.3">
      <c r="A64" s="69" t="s">
        <v>26</v>
      </c>
      <c r="B64" s="11" t="s">
        <v>258</v>
      </c>
      <c r="C64" s="8" t="s">
        <v>259</v>
      </c>
      <c r="D64" s="23" t="s">
        <v>260</v>
      </c>
      <c r="E64" s="23" t="s">
        <v>82</v>
      </c>
      <c r="F64" s="8">
        <v>5</v>
      </c>
      <c r="G64" s="62" t="s">
        <v>261</v>
      </c>
      <c r="H64" s="23">
        <v>4.6412499621510506</v>
      </c>
      <c r="I64" s="8">
        <v>4.3475000187754631</v>
      </c>
      <c r="J64" s="11">
        <v>4.5400000177323818</v>
      </c>
      <c r="K64" s="23">
        <v>10.756249912083149</v>
      </c>
      <c r="L64" s="8">
        <v>10.15000008046627</v>
      </c>
      <c r="M64" s="11">
        <v>10.484999977052212</v>
      </c>
      <c r="N64" s="23">
        <v>11.103999895989917</v>
      </c>
      <c r="O64" s="8">
        <v>10.15000008046627</v>
      </c>
      <c r="P64" s="11">
        <v>10.484999977052212</v>
      </c>
      <c r="Q64" s="48">
        <v>38.723242042042003</v>
      </c>
      <c r="R64" s="8">
        <v>36.762258258258299</v>
      </c>
      <c r="S64" s="20">
        <v>37.477279279279301</v>
      </c>
      <c r="T64" s="69">
        <f t="shared" ref="T64:T125" si="9">IF(N64="NA",48,72)</f>
        <v>72</v>
      </c>
      <c r="U64" s="23">
        <f t="shared" ref="U64:U125" si="10">Q64/K64/(T64-24)</f>
        <v>7.5001437843402546E-2</v>
      </c>
      <c r="V64" s="8">
        <f>R64/L64/(T64-24)</f>
        <v>7.5456194513172675E-2</v>
      </c>
      <c r="W64" s="11">
        <f>S64/M64/(T64-24)</f>
        <v>7.4466061360084268E-2</v>
      </c>
      <c r="X64" s="23">
        <f t="shared" si="8"/>
        <v>1.3628406697650925</v>
      </c>
      <c r="Y64" s="23">
        <f t="shared" si="8"/>
        <v>1.3711039898057522</v>
      </c>
      <c r="Z64" s="23">
        <f t="shared" si="8"/>
        <v>1.3531124183330949</v>
      </c>
    </row>
    <row r="65" spans="1:26" x14ac:dyDescent="0.3">
      <c r="A65" s="69" t="s">
        <v>26</v>
      </c>
      <c r="B65" s="11" t="s">
        <v>262</v>
      </c>
      <c r="C65" s="8" t="s">
        <v>263</v>
      </c>
      <c r="D65" s="23" t="s">
        <v>264</v>
      </c>
      <c r="E65" s="23" t="s">
        <v>82</v>
      </c>
      <c r="F65" s="8">
        <v>5</v>
      </c>
      <c r="G65" s="11" t="s">
        <v>265</v>
      </c>
      <c r="H65" s="23">
        <v>5.3462499752640724</v>
      </c>
      <c r="I65" s="8">
        <v>5.4337499663233757</v>
      </c>
      <c r="J65" s="11">
        <v>5.3999999538064003</v>
      </c>
      <c r="K65" s="23">
        <v>11.998750083148479</v>
      </c>
      <c r="L65" s="8">
        <v>11.713749915361404</v>
      </c>
      <c r="M65" s="11">
        <v>12.221249938011169</v>
      </c>
      <c r="N65" s="23">
        <v>11.998750083148479</v>
      </c>
      <c r="O65" s="8">
        <v>11.713749915361404</v>
      </c>
      <c r="P65" s="11">
        <v>12.221249938011169</v>
      </c>
      <c r="Q65" s="48">
        <v>21.738225825825825</v>
      </c>
      <c r="R65" s="8">
        <v>21.642126126126129</v>
      </c>
      <c r="S65" s="20">
        <v>26.281464264264265</v>
      </c>
      <c r="T65" s="69">
        <f t="shared" si="9"/>
        <v>72</v>
      </c>
      <c r="U65" s="23">
        <f t="shared" si="10"/>
        <v>3.7743906787486715E-2</v>
      </c>
      <c r="V65" s="8">
        <f t="shared" ref="V65:V125" si="11">R65/L65/(T65-24)</f>
        <v>3.8491314129589456E-2</v>
      </c>
      <c r="W65" s="11">
        <f t="shared" ref="W65:W125" si="12">S65/M65/(T65-24)</f>
        <v>4.4801514434505391E-2</v>
      </c>
      <c r="X65" s="23">
        <f t="shared" si="8"/>
        <v>0.68583926768457837</v>
      </c>
      <c r="Y65" s="23">
        <f t="shared" si="8"/>
        <v>0.6994203022885469</v>
      </c>
      <c r="Z65" s="23">
        <f>W65/AVERAGE($U$68:$W$68)</f>
        <v>0.81408207221166839</v>
      </c>
    </row>
    <row r="66" spans="1:26" x14ac:dyDescent="0.3">
      <c r="A66" s="69" t="s">
        <v>26</v>
      </c>
      <c r="B66" s="11" t="s">
        <v>266</v>
      </c>
      <c r="C66" s="8" t="s">
        <v>267</v>
      </c>
      <c r="D66" s="23" t="s">
        <v>268</v>
      </c>
      <c r="E66" s="23" t="s">
        <v>82</v>
      </c>
      <c r="F66" s="8">
        <v>5</v>
      </c>
      <c r="G66" s="62" t="s">
        <v>269</v>
      </c>
      <c r="H66" s="23">
        <v>4.5587499625980854</v>
      </c>
      <c r="I66" s="8">
        <v>4.7699999995529652</v>
      </c>
      <c r="J66" s="11">
        <v>4.537499975413084</v>
      </c>
      <c r="K66" s="23">
        <v>10.936249978840351</v>
      </c>
      <c r="L66" s="8">
        <v>11.060000211000443</v>
      </c>
      <c r="M66" s="11">
        <v>10.861250199377537</v>
      </c>
      <c r="N66" s="23">
        <v>10.936249978840351</v>
      </c>
      <c r="O66" s="8">
        <v>11.060000211000443</v>
      </c>
      <c r="P66" s="11">
        <v>10.861250199377537</v>
      </c>
      <c r="Q66" s="48">
        <v>48.545213213213202</v>
      </c>
      <c r="R66" s="8">
        <v>48.816109309309297</v>
      </c>
      <c r="S66" s="20">
        <v>48.307193993993998</v>
      </c>
      <c r="T66" s="69">
        <f t="shared" si="9"/>
        <v>72</v>
      </c>
      <c r="U66" s="23">
        <f t="shared" si="10"/>
        <v>9.2477641839332755E-2</v>
      </c>
      <c r="V66" s="8">
        <f t="shared" si="11"/>
        <v>9.1953187872975919E-2</v>
      </c>
      <c r="W66" s="11">
        <f t="shared" si="12"/>
        <v>9.2659671437506544E-2</v>
      </c>
      <c r="X66" s="23">
        <f t="shared" si="8"/>
        <v>1.6803983359060224</v>
      </c>
      <c r="Y66" s="23">
        <f t="shared" si="8"/>
        <v>1.6708685560068284</v>
      </c>
      <c r="Z66" s="23">
        <f t="shared" si="8"/>
        <v>1.6837059703544472</v>
      </c>
    </row>
    <row r="67" spans="1:26" x14ac:dyDescent="0.3">
      <c r="A67" s="69" t="s">
        <v>26</v>
      </c>
      <c r="B67" s="11" t="s">
        <v>270</v>
      </c>
      <c r="C67" s="8" t="s">
        <v>271</v>
      </c>
      <c r="D67" s="23" t="s">
        <v>272</v>
      </c>
      <c r="E67" s="23" t="s">
        <v>82</v>
      </c>
      <c r="F67" s="8">
        <v>5</v>
      </c>
      <c r="G67" s="62" t="s">
        <v>273</v>
      </c>
      <c r="H67" s="23">
        <v>4.7887499444186687</v>
      </c>
      <c r="I67" s="8">
        <v>4.9587499350309372</v>
      </c>
      <c r="J67" s="11">
        <v>4.7300000675022602</v>
      </c>
      <c r="K67" s="23">
        <v>11.694999970495701</v>
      </c>
      <c r="L67" s="8">
        <v>11.387499794363976</v>
      </c>
      <c r="M67" s="11">
        <v>11.283750087022781</v>
      </c>
      <c r="N67" s="23">
        <v>11.694999970495701</v>
      </c>
      <c r="O67" s="8">
        <v>11.387499794363976</v>
      </c>
      <c r="P67" s="11">
        <v>11.283750087022781</v>
      </c>
      <c r="Q67" s="48">
        <v>37.079555555555601</v>
      </c>
      <c r="R67" s="8">
        <v>37.1325345345345</v>
      </c>
      <c r="S67" s="20">
        <v>37.971600000000002</v>
      </c>
      <c r="T67" s="69">
        <f t="shared" si="9"/>
        <v>72</v>
      </c>
      <c r="U67" s="23">
        <f t="shared" si="10"/>
        <v>6.6053077613475106E-2</v>
      </c>
      <c r="V67" s="8">
        <f t="shared" si="11"/>
        <v>6.7933653869512653E-2</v>
      </c>
      <c r="W67" s="11">
        <f t="shared" si="12"/>
        <v>7.0107454870858912E-2</v>
      </c>
      <c r="X67" s="23">
        <f t="shared" si="8"/>
        <v>1.2002412636774882</v>
      </c>
      <c r="Y67" s="23">
        <f t="shared" si="8"/>
        <v>1.2344129526212888</v>
      </c>
      <c r="Z67" s="23">
        <f t="shared" si="8"/>
        <v>1.2739127875284053</v>
      </c>
    </row>
    <row r="68" spans="1:26" x14ac:dyDescent="0.3">
      <c r="A68" s="69" t="s">
        <v>26</v>
      </c>
      <c r="B68" s="11" t="s">
        <v>86</v>
      </c>
      <c r="C68" s="8" t="s">
        <v>86</v>
      </c>
      <c r="D68" s="23" t="s">
        <v>86</v>
      </c>
      <c r="E68" s="23" t="s">
        <v>87</v>
      </c>
      <c r="F68" s="8">
        <v>5</v>
      </c>
      <c r="G68" s="11" t="s">
        <v>88</v>
      </c>
      <c r="H68" s="23">
        <v>4.0937499590217996</v>
      </c>
      <c r="I68" s="8">
        <v>5.1575000137090603</v>
      </c>
      <c r="J68" s="11">
        <v>4.0887500140815902</v>
      </c>
      <c r="K68" s="23">
        <v>9.9299999848000002</v>
      </c>
      <c r="L68" s="8">
        <v>9.8925000019370994</v>
      </c>
      <c r="M68" s="11">
        <v>9.7924999855458008</v>
      </c>
      <c r="N68" s="23">
        <v>14.9299999848008</v>
      </c>
      <c r="O68" s="8">
        <v>15.892500001937099</v>
      </c>
      <c r="P68" s="11">
        <v>15.792499985545801</v>
      </c>
      <c r="Q68" s="48">
        <v>24.924784384384399</v>
      </c>
      <c r="R68" s="8">
        <v>26.8900288288288</v>
      </c>
      <c r="S68" s="20">
        <v>26.405509909909899</v>
      </c>
      <c r="T68" s="69">
        <f t="shared" si="9"/>
        <v>72</v>
      </c>
      <c r="U68" s="23">
        <f t="shared" si="10"/>
        <v>5.2292682994581112E-2</v>
      </c>
      <c r="V68" s="8">
        <f t="shared" si="11"/>
        <v>5.6629662251628611E-2</v>
      </c>
      <c r="W68" s="11">
        <f t="shared" si="12"/>
        <v>5.617715502698855E-2</v>
      </c>
      <c r="X68" s="23">
        <f t="shared" si="8"/>
        <v>0.95020305163946284</v>
      </c>
      <c r="Y68" s="23">
        <f t="shared" si="8"/>
        <v>1.0290096970236866</v>
      </c>
      <c r="Z68" s="23">
        <f t="shared" si="8"/>
        <v>1.0207872513368503</v>
      </c>
    </row>
    <row r="69" spans="1:26" x14ac:dyDescent="0.3">
      <c r="A69" s="69" t="s">
        <v>26</v>
      </c>
      <c r="B69" s="11" t="s">
        <v>274</v>
      </c>
      <c r="C69" s="8" t="s">
        <v>275</v>
      </c>
      <c r="D69" s="23" t="s">
        <v>276</v>
      </c>
      <c r="E69" s="23" t="s">
        <v>30</v>
      </c>
      <c r="F69" s="8">
        <v>1</v>
      </c>
      <c r="G69" s="11" t="s">
        <v>277</v>
      </c>
      <c r="H69" s="23">
        <v>4.7160936519503593</v>
      </c>
      <c r="I69" s="8">
        <v>4.9225000664591789</v>
      </c>
      <c r="J69" s="11">
        <v>4.8837500624358654</v>
      </c>
      <c r="K69" s="23">
        <v>11.043750122189522</v>
      </c>
      <c r="L69" s="8">
        <v>10.405000112950802</v>
      </c>
      <c r="M69" s="11">
        <v>11.144999973475933</v>
      </c>
      <c r="N69" s="23" t="s">
        <v>32</v>
      </c>
      <c r="O69" s="8" t="s">
        <v>32</v>
      </c>
      <c r="P69" s="11" t="s">
        <v>32</v>
      </c>
      <c r="Q69" s="78">
        <v>30.103331000000001</v>
      </c>
      <c r="R69" s="12">
        <v>33.189298999999998</v>
      </c>
      <c r="S69" s="79">
        <v>32.311083000000004</v>
      </c>
      <c r="T69" s="69">
        <f t="shared" si="9"/>
        <v>48</v>
      </c>
      <c r="U69" s="23">
        <f t="shared" si="10"/>
        <v>0.11357604477243062</v>
      </c>
      <c r="V69" s="8">
        <f t="shared" si="11"/>
        <v>0.13290604933411709</v>
      </c>
      <c r="W69" s="11">
        <f t="shared" si="12"/>
        <v>0.12079812725025192</v>
      </c>
      <c r="X69" s="23">
        <f>U69/AVERAGE($U$96:$W$96)</f>
        <v>1.2018397066565383</v>
      </c>
      <c r="Y69" s="23">
        <f>V69/AVERAGE($U$96:$W$96)</f>
        <v>1.4063860708008022</v>
      </c>
      <c r="Z69" s="23">
        <f>W69/AVERAGE($U$96:$W$96)</f>
        <v>1.2782623845547301</v>
      </c>
    </row>
    <row r="70" spans="1:26" x14ac:dyDescent="0.3">
      <c r="A70" s="69" t="s">
        <v>26</v>
      </c>
      <c r="B70" s="11" t="s">
        <v>278</v>
      </c>
      <c r="C70" s="8" t="s">
        <v>279</v>
      </c>
      <c r="D70" s="23" t="s">
        <v>278</v>
      </c>
      <c r="E70" s="23" t="s">
        <v>30</v>
      </c>
      <c r="F70" s="8">
        <v>1</v>
      </c>
      <c r="G70" s="11" t="s">
        <v>280</v>
      </c>
      <c r="H70" s="23">
        <v>3.6343749612569809</v>
      </c>
      <c r="I70" s="8">
        <v>3.3512500114738941</v>
      </c>
      <c r="J70" s="11">
        <v>3.2224999740719795</v>
      </c>
      <c r="K70" s="23">
        <v>9.4912499189376831</v>
      </c>
      <c r="L70" s="8">
        <v>9.8362497985363007</v>
      </c>
      <c r="M70" s="11">
        <v>9.5887498930096626</v>
      </c>
      <c r="N70" s="23" t="s">
        <v>32</v>
      </c>
      <c r="O70" s="8" t="s">
        <v>32</v>
      </c>
      <c r="P70" s="11" t="s">
        <v>32</v>
      </c>
      <c r="Q70" s="78">
        <v>27.177334999999999</v>
      </c>
      <c r="R70" s="12">
        <v>22.114895000000001</v>
      </c>
      <c r="S70" s="79">
        <v>25.42475</v>
      </c>
      <c r="T70" s="69">
        <f t="shared" si="9"/>
        <v>48</v>
      </c>
      <c r="U70" s="23">
        <f t="shared" si="10"/>
        <v>0.119308728355567</v>
      </c>
      <c r="V70" s="8">
        <f t="shared" si="11"/>
        <v>9.3679397860600477E-2</v>
      </c>
      <c r="W70" s="11">
        <f t="shared" si="12"/>
        <v>0.11047994735013637</v>
      </c>
      <c r="X70" s="23">
        <f>U70/AVERAGE($U$96:$W$96)</f>
        <v>1.262501853940468</v>
      </c>
      <c r="Y70" s="23">
        <f>V70/AVERAGE($U$96:$W$96)</f>
        <v>0.99129724291891064</v>
      </c>
      <c r="Z70" s="23">
        <f>W70/AVERAGE($U$96:$W$96)</f>
        <v>1.1690774034327742</v>
      </c>
    </row>
    <row r="71" spans="1:26" x14ac:dyDescent="0.3">
      <c r="A71" s="69" t="s">
        <v>26</v>
      </c>
      <c r="B71" s="11" t="s">
        <v>281</v>
      </c>
      <c r="C71" s="8" t="s">
        <v>282</v>
      </c>
      <c r="D71" s="23" t="s">
        <v>283</v>
      </c>
      <c r="E71" s="23" t="s">
        <v>30</v>
      </c>
      <c r="F71" s="8">
        <v>1</v>
      </c>
      <c r="G71" s="11" t="s">
        <v>284</v>
      </c>
      <c r="H71" s="23">
        <v>2.8651561588048935</v>
      </c>
      <c r="I71" s="8">
        <v>5.0812500528991222</v>
      </c>
      <c r="J71" s="11">
        <v>5.0575000233948231</v>
      </c>
      <c r="K71" s="23">
        <v>11.730000004172325</v>
      </c>
      <c r="L71" s="8">
        <v>11.283750087022781</v>
      </c>
      <c r="M71" s="11">
        <v>11.69624999165535</v>
      </c>
      <c r="N71" s="23" t="s">
        <v>32</v>
      </c>
      <c r="O71" s="8" t="s">
        <v>32</v>
      </c>
      <c r="P71" s="11" t="s">
        <v>32</v>
      </c>
      <c r="Q71" s="78">
        <v>24.869526</v>
      </c>
      <c r="R71" s="12">
        <v>22.915056</v>
      </c>
      <c r="S71" s="79">
        <v>26.192594</v>
      </c>
      <c r="T71" s="69">
        <f t="shared" si="9"/>
        <v>48</v>
      </c>
      <c r="U71" s="23">
        <f t="shared" si="10"/>
        <v>8.8340174734136065E-2</v>
      </c>
      <c r="V71" s="8">
        <f t="shared" si="11"/>
        <v>8.4616726942409848E-2</v>
      </c>
      <c r="W71" s="11">
        <f t="shared" si="12"/>
        <v>9.3308375258049303E-2</v>
      </c>
      <c r="X71" s="23">
        <f>U71/AVERAGE($U$96:$W$96)</f>
        <v>0.9347986179761143</v>
      </c>
      <c r="Y71" s="23">
        <f>V71/AVERAGE($U$96:$W$96)</f>
        <v>0.8953978146577245</v>
      </c>
      <c r="Z71" s="23">
        <f>W71/AVERAGE($U$96:$W$96)</f>
        <v>0.98737115360398064</v>
      </c>
    </row>
    <row r="72" spans="1:26" x14ac:dyDescent="0.3">
      <c r="A72" s="69" t="s">
        <v>26</v>
      </c>
      <c r="B72" s="11" t="s">
        <v>285</v>
      </c>
      <c r="C72" s="8" t="s">
        <v>286</v>
      </c>
      <c r="D72" s="23" t="s">
        <v>285</v>
      </c>
      <c r="E72" s="23" t="s">
        <v>30</v>
      </c>
      <c r="F72" s="8">
        <v>1</v>
      </c>
      <c r="G72" s="11" t="s">
        <v>287</v>
      </c>
      <c r="H72" s="23">
        <v>4.3704686686396599</v>
      </c>
      <c r="I72" s="8">
        <v>5.0112500786781311</v>
      </c>
      <c r="J72" s="11">
        <v>5.0174999982118607</v>
      </c>
      <c r="K72" s="23">
        <v>8.7287498638033867</v>
      </c>
      <c r="L72" s="8">
        <v>8.5212500765919685</v>
      </c>
      <c r="M72" s="11">
        <v>8.91875009983778</v>
      </c>
      <c r="N72" s="23" t="s">
        <v>32</v>
      </c>
      <c r="O72" s="8" t="s">
        <v>32</v>
      </c>
      <c r="P72" s="11" t="s">
        <v>32</v>
      </c>
      <c r="Q72" s="78">
        <v>40.583837000000003</v>
      </c>
      <c r="R72" s="12">
        <v>42.663114</v>
      </c>
      <c r="S72" s="79">
        <v>43.364215000000002</v>
      </c>
      <c r="T72" s="69">
        <f t="shared" si="9"/>
        <v>48</v>
      </c>
      <c r="U72" s="23">
        <f t="shared" si="10"/>
        <v>0.19372684917293703</v>
      </c>
      <c r="V72" s="8">
        <f t="shared" si="11"/>
        <v>0.2086113814313679</v>
      </c>
      <c r="W72" s="11">
        <f t="shared" si="12"/>
        <v>0.2025891825021009</v>
      </c>
      <c r="X72" s="23">
        <f>U72/AVERAGE($U$96:$W$96)</f>
        <v>2.0499799940032317</v>
      </c>
      <c r="Y72" s="23">
        <f>V72/AVERAGE($U$96:$W$96)</f>
        <v>2.207485231300724</v>
      </c>
      <c r="Z72" s="23">
        <f>W72/AVERAGE($U$96:$W$96)</f>
        <v>2.143759488701749</v>
      </c>
    </row>
    <row r="73" spans="1:26" x14ac:dyDescent="0.3">
      <c r="A73" s="69" t="s">
        <v>26</v>
      </c>
      <c r="B73" s="11" t="s">
        <v>288</v>
      </c>
      <c r="C73" s="8" t="s">
        <v>289</v>
      </c>
      <c r="D73" s="23" t="s">
        <v>290</v>
      </c>
      <c r="E73" s="23" t="s">
        <v>30</v>
      </c>
      <c r="F73" s="8">
        <v>1</v>
      </c>
      <c r="G73" s="11" t="s">
        <v>291</v>
      </c>
      <c r="H73" s="23">
        <v>3.583437530323863</v>
      </c>
      <c r="I73" s="8">
        <v>3.2475000247359276</v>
      </c>
      <c r="J73" s="11">
        <v>3.2025001011788845</v>
      </c>
      <c r="K73" s="23">
        <v>11.238749884068966</v>
      </c>
      <c r="L73" s="8">
        <v>10.626249946653843</v>
      </c>
      <c r="M73" s="11">
        <v>11.41125001013279</v>
      </c>
      <c r="N73" s="23" t="s">
        <v>32</v>
      </c>
      <c r="O73" s="8" t="s">
        <v>32</v>
      </c>
      <c r="P73" s="11" t="s">
        <v>32</v>
      </c>
      <c r="Q73" s="78">
        <v>28.186205000000001</v>
      </c>
      <c r="R73" s="12">
        <v>24.882598000000002</v>
      </c>
      <c r="S73" s="79">
        <v>32.440455999999998</v>
      </c>
      <c r="T73" s="69">
        <f t="shared" si="9"/>
        <v>48</v>
      </c>
      <c r="U73" s="23">
        <f t="shared" si="10"/>
        <v>0.10449785077947969</v>
      </c>
      <c r="V73" s="8">
        <f t="shared" si="11"/>
        <v>9.7567337665828424E-2</v>
      </c>
      <c r="W73" s="11">
        <f t="shared" si="12"/>
        <v>0.11845202457806263</v>
      </c>
      <c r="X73" s="23">
        <f>U73/AVERAGE($U$96:$W$96)</f>
        <v>1.1057760162249826</v>
      </c>
      <c r="Y73" s="23">
        <f>V73/AVERAGE($U$96:$W$96)</f>
        <v>1.0324386688628757</v>
      </c>
      <c r="Z73" s="23">
        <f>W73/AVERAGE($U$96:$W$96)</f>
        <v>1.2534363805062554</v>
      </c>
    </row>
    <row r="74" spans="1:26" x14ac:dyDescent="0.3">
      <c r="A74" s="69" t="s">
        <v>26</v>
      </c>
      <c r="B74" s="11" t="s">
        <v>292</v>
      </c>
      <c r="C74" s="8" t="s">
        <v>293</v>
      </c>
      <c r="D74" s="23" t="s">
        <v>294</v>
      </c>
      <c r="E74" s="23" t="s">
        <v>30</v>
      </c>
      <c r="F74" s="8">
        <v>1</v>
      </c>
      <c r="G74" s="11" t="s">
        <v>295</v>
      </c>
      <c r="H74" s="23">
        <v>4.7424999997019768</v>
      </c>
      <c r="I74" s="8">
        <v>4.7887499444186687</v>
      </c>
      <c r="J74" s="11">
        <v>4.7575000673532486</v>
      </c>
      <c r="K74" s="23">
        <v>10.541249997913837</v>
      </c>
      <c r="L74" s="8">
        <v>10.097500123083591</v>
      </c>
      <c r="M74" s="11">
        <v>10.492500104010105</v>
      </c>
      <c r="N74" s="23" t="s">
        <v>32</v>
      </c>
      <c r="O74" s="8" t="s">
        <v>32</v>
      </c>
      <c r="P74" s="11" t="s">
        <v>32</v>
      </c>
      <c r="Q74" s="78">
        <v>22.212292999999999</v>
      </c>
      <c r="R74" s="12">
        <v>23.430931999999999</v>
      </c>
      <c r="S74" s="79">
        <v>24.652246999999999</v>
      </c>
      <c r="T74" s="69">
        <f t="shared" si="9"/>
        <v>48</v>
      </c>
      <c r="U74" s="23">
        <f t="shared" si="10"/>
        <v>8.7799094843258305E-2</v>
      </c>
      <c r="V74" s="8">
        <f t="shared" si="11"/>
        <v>9.6686191773493399E-2</v>
      </c>
      <c r="W74" s="11">
        <f t="shared" si="12"/>
        <v>9.7896301944353448E-2</v>
      </c>
      <c r="X74" s="23">
        <f>U74/AVERAGE($U$96:$W$96)</f>
        <v>0.92907301537537879</v>
      </c>
      <c r="Y74" s="23">
        <f>V74/AVERAGE($U$96:$W$96)</f>
        <v>1.0231145537038435</v>
      </c>
      <c r="Z74" s="23">
        <f>W74/AVERAGE($U$96:$W$96)</f>
        <v>1.0359197051394531</v>
      </c>
    </row>
    <row r="75" spans="1:26" x14ac:dyDescent="0.3">
      <c r="A75" s="69" t="s">
        <v>26</v>
      </c>
      <c r="B75" s="11" t="s">
        <v>296</v>
      </c>
      <c r="C75" s="8" t="s">
        <v>297</v>
      </c>
      <c r="D75" s="23" t="s">
        <v>298</v>
      </c>
      <c r="E75" s="23" t="s">
        <v>30</v>
      </c>
      <c r="F75" s="8">
        <v>1</v>
      </c>
      <c r="G75" s="11" t="s">
        <v>299</v>
      </c>
      <c r="H75" s="23">
        <v>3.9725000038743019</v>
      </c>
      <c r="I75" s="8">
        <v>3.9612499997019768</v>
      </c>
      <c r="J75" s="11">
        <v>3.8800000213086605</v>
      </c>
      <c r="K75" s="23">
        <v>11.629999987781048</v>
      </c>
      <c r="L75" s="8">
        <v>10.624999925494194</v>
      </c>
      <c r="M75" s="11">
        <v>11.283750087022781</v>
      </c>
      <c r="N75" s="23" t="s">
        <v>32</v>
      </c>
      <c r="O75" s="8" t="s">
        <v>32</v>
      </c>
      <c r="P75" s="11" t="s">
        <v>32</v>
      </c>
      <c r="Q75" s="48">
        <v>16.726925000000001</v>
      </c>
      <c r="R75" s="8">
        <v>18.741230999999999</v>
      </c>
      <c r="S75" s="20">
        <v>18.202863000000001</v>
      </c>
      <c r="T75" s="69">
        <f t="shared" si="9"/>
        <v>48</v>
      </c>
      <c r="U75" s="23">
        <f t="shared" si="10"/>
        <v>5.9927361054650297E-2</v>
      </c>
      <c r="V75" s="8">
        <f t="shared" si="11"/>
        <v>7.349502404478174E-2</v>
      </c>
      <c r="W75" s="11">
        <f t="shared" si="12"/>
        <v>6.7216361506648517E-2</v>
      </c>
      <c r="X75" s="23">
        <f>U75/AVERAGE($U$96:$W$96)</f>
        <v>0.63413972704307631</v>
      </c>
      <c r="Y75" s="23">
        <f>V75/AVERAGE($U$96:$W$96)</f>
        <v>0.77771010881457203</v>
      </c>
      <c r="Z75" s="23">
        <f>W75/AVERAGE($U$96:$W$96)</f>
        <v>0.71127051798232344</v>
      </c>
    </row>
    <row r="76" spans="1:26" x14ac:dyDescent="0.3">
      <c r="A76" s="69" t="s">
        <v>26</v>
      </c>
      <c r="B76" s="11" t="s">
        <v>300</v>
      </c>
      <c r="C76" s="8" t="s">
        <v>301</v>
      </c>
      <c r="D76" s="23" t="s">
        <v>302</v>
      </c>
      <c r="E76" s="23" t="s">
        <v>30</v>
      </c>
      <c r="F76" s="8">
        <v>1</v>
      </c>
      <c r="G76" s="11" t="s">
        <v>303</v>
      </c>
      <c r="H76" s="23">
        <v>3.8325000554323196</v>
      </c>
      <c r="I76" s="8">
        <v>3.8987499661743641</v>
      </c>
      <c r="J76" s="11">
        <v>3.9137500338256359</v>
      </c>
      <c r="K76" s="23">
        <v>7.1112502366304398</v>
      </c>
      <c r="L76" s="8">
        <v>7.3374999687075615</v>
      </c>
      <c r="M76" s="11">
        <v>7.0275001227855682</v>
      </c>
      <c r="N76" s="23" t="s">
        <v>32</v>
      </c>
      <c r="O76" s="8" t="s">
        <v>32</v>
      </c>
      <c r="P76" s="11" t="s">
        <v>32</v>
      </c>
      <c r="Q76" s="48">
        <v>18.733521</v>
      </c>
      <c r="R76" s="8">
        <v>19.212810000000001</v>
      </c>
      <c r="S76" s="20">
        <v>19.943269999999998</v>
      </c>
      <c r="T76" s="69">
        <f t="shared" si="9"/>
        <v>48</v>
      </c>
      <c r="U76" s="23">
        <f t="shared" si="10"/>
        <v>0.10976457711743502</v>
      </c>
      <c r="V76" s="8">
        <f t="shared" si="11"/>
        <v>0.10910170404280183</v>
      </c>
      <c r="W76" s="11">
        <f t="shared" si="12"/>
        <v>0.11824540289071565</v>
      </c>
      <c r="X76" s="23">
        <f>U76/AVERAGE($U$96:$W$96)</f>
        <v>1.1615074941940497</v>
      </c>
      <c r="Y76" s="23">
        <f>V76/AVERAGE($U$96:$W$96)</f>
        <v>1.1544930997135592</v>
      </c>
      <c r="Z76" s="23">
        <f>W76/AVERAGE($U$96:$W$96)</f>
        <v>1.2512499498323617</v>
      </c>
    </row>
    <row r="77" spans="1:26" x14ac:dyDescent="0.3">
      <c r="A77" s="69" t="s">
        <v>26</v>
      </c>
      <c r="B77" s="11" t="s">
        <v>304</v>
      </c>
      <c r="C77" s="8" t="s">
        <v>305</v>
      </c>
      <c r="D77" s="23" t="s">
        <v>306</v>
      </c>
      <c r="E77" s="23" t="s">
        <v>30</v>
      </c>
      <c r="F77" s="8">
        <v>1</v>
      </c>
      <c r="G77" s="11" t="s">
        <v>307</v>
      </c>
      <c r="H77" s="23">
        <v>4.3374999426305294</v>
      </c>
      <c r="I77" s="8">
        <v>4.5037500560283661</v>
      </c>
      <c r="J77" s="11">
        <v>4.6049999073147774</v>
      </c>
      <c r="K77" s="23">
        <v>6.4687498845160007</v>
      </c>
      <c r="L77" s="8">
        <v>6.5587500110268593</v>
      </c>
      <c r="M77" s="11">
        <v>6.5712500363588333</v>
      </c>
      <c r="N77" s="23" t="s">
        <v>32</v>
      </c>
      <c r="O77" s="8" t="s">
        <v>32</v>
      </c>
      <c r="P77" s="11" t="s">
        <v>32</v>
      </c>
      <c r="Q77" s="48">
        <v>32.396439000000001</v>
      </c>
      <c r="R77" s="8">
        <v>33.404963000000002</v>
      </c>
      <c r="S77" s="20">
        <v>31.186726</v>
      </c>
      <c r="T77" s="69">
        <f t="shared" si="9"/>
        <v>48</v>
      </c>
      <c r="U77" s="23">
        <f t="shared" si="10"/>
        <v>0.20867271870119578</v>
      </c>
      <c r="V77" s="8">
        <f t="shared" si="11"/>
        <v>0.21221626925759551</v>
      </c>
      <c r="W77" s="11">
        <f t="shared" si="12"/>
        <v>0.19774729457512738</v>
      </c>
      <c r="X77" s="23">
        <f>U77/AVERAGE($U$96:$W$96)</f>
        <v>2.2081342904093133</v>
      </c>
      <c r="Y77" s="23">
        <f>V77/AVERAGE($U$96:$W$96)</f>
        <v>2.2456314560286943</v>
      </c>
      <c r="Z77" s="23">
        <f>W77/AVERAGE($U$96:$W$96)</f>
        <v>2.0925235685085659</v>
      </c>
    </row>
    <row r="78" spans="1:26" x14ac:dyDescent="0.3">
      <c r="A78" s="69" t="s">
        <v>26</v>
      </c>
      <c r="B78" s="11" t="s">
        <v>206</v>
      </c>
      <c r="C78" s="8" t="s">
        <v>207</v>
      </c>
      <c r="D78" s="23" t="s">
        <v>208</v>
      </c>
      <c r="E78" s="23" t="s">
        <v>30</v>
      </c>
      <c r="F78" s="8">
        <v>1</v>
      </c>
      <c r="G78" s="11" t="s">
        <v>308</v>
      </c>
      <c r="H78" s="23">
        <v>3.583437530323863</v>
      </c>
      <c r="I78" s="8">
        <v>3.2475000247359276</v>
      </c>
      <c r="J78" s="11">
        <v>3.2025001011788845</v>
      </c>
      <c r="K78" s="23">
        <v>11.057499796152115</v>
      </c>
      <c r="L78" s="8">
        <v>10.73249988257885</v>
      </c>
      <c r="M78" s="11">
        <v>11.07999999076128</v>
      </c>
      <c r="N78" s="23" t="s">
        <v>32</v>
      </c>
      <c r="O78" s="8" t="s">
        <v>32</v>
      </c>
      <c r="P78" s="11" t="s">
        <v>32</v>
      </c>
      <c r="Q78" s="48">
        <v>31.513925</v>
      </c>
      <c r="R78" s="8">
        <v>36.306857000000001</v>
      </c>
      <c r="S78" s="20">
        <v>34.630057000000001</v>
      </c>
      <c r="T78" s="69">
        <f t="shared" si="9"/>
        <v>48</v>
      </c>
      <c r="U78" s="23">
        <f t="shared" si="10"/>
        <v>0.1187501905982644</v>
      </c>
      <c r="V78" s="8">
        <f t="shared" si="11"/>
        <v>0.14095371301041512</v>
      </c>
      <c r="W78" s="11">
        <f t="shared" si="12"/>
        <v>0.1302273504395127</v>
      </c>
      <c r="X78" s="23">
        <f>U78/AVERAGE($U$96:$W$96)</f>
        <v>1.2565915155787284</v>
      </c>
      <c r="Y78" s="23">
        <f>V78/AVERAGE($U$96:$W$96)</f>
        <v>1.4915448890302276</v>
      </c>
      <c r="Z78" s="23">
        <f>W78/AVERAGE($U$96:$W$96)</f>
        <v>1.3780405979489954</v>
      </c>
    </row>
    <row r="79" spans="1:26" x14ac:dyDescent="0.3">
      <c r="A79" s="69" t="s">
        <v>26</v>
      </c>
      <c r="B79" s="11" t="s">
        <v>309</v>
      </c>
      <c r="C79" s="8" t="s">
        <v>310</v>
      </c>
      <c r="D79" s="23" t="s">
        <v>311</v>
      </c>
      <c r="E79" s="23" t="s">
        <v>30</v>
      </c>
      <c r="F79" s="8">
        <v>1</v>
      </c>
      <c r="G79" s="11" t="s">
        <v>312</v>
      </c>
      <c r="H79" s="23">
        <v>4.7424999997019768</v>
      </c>
      <c r="I79" s="8">
        <v>4.7887499444186687</v>
      </c>
      <c r="J79" s="11">
        <v>4.7575000673532486</v>
      </c>
      <c r="K79" s="23">
        <v>7.2112500667572021</v>
      </c>
      <c r="L79" s="8">
        <v>6.9174999371170998</v>
      </c>
      <c r="M79" s="11">
        <v>7.3900001123547554</v>
      </c>
      <c r="N79" s="23" t="s">
        <v>32</v>
      </c>
      <c r="O79" s="8" t="s">
        <v>32</v>
      </c>
      <c r="P79" s="11" t="s">
        <v>32</v>
      </c>
      <c r="Q79" s="48">
        <v>32.237769</v>
      </c>
      <c r="R79" s="8">
        <v>32.879193000000001</v>
      </c>
      <c r="S79" s="20">
        <v>32.622951999999998</v>
      </c>
      <c r="T79" s="69">
        <f t="shared" si="9"/>
        <v>48</v>
      </c>
      <c r="U79" s="23">
        <f t="shared" si="10"/>
        <v>0.18627011441360766</v>
      </c>
      <c r="V79" s="8">
        <f t="shared" si="11"/>
        <v>0.1980435688404126</v>
      </c>
      <c r="W79" s="11">
        <f t="shared" si="12"/>
        <v>0.18393635263877439</v>
      </c>
      <c r="X79" s="23">
        <f>U79/AVERAGE($U$96:$W$96)</f>
        <v>1.9710742711131226</v>
      </c>
      <c r="Y79" s="23">
        <f>V79/AVERAGE($U$96:$W$96)</f>
        <v>2.0956586853969355</v>
      </c>
      <c r="Z79" s="23">
        <f>W79/AVERAGE($U$96:$W$96)</f>
        <v>1.9463788560500979</v>
      </c>
    </row>
    <row r="80" spans="1:26" x14ac:dyDescent="0.3">
      <c r="A80" s="69" t="s">
        <v>26</v>
      </c>
      <c r="B80" s="11" t="s">
        <v>313</v>
      </c>
      <c r="C80" s="8" t="s">
        <v>314</v>
      </c>
      <c r="D80" s="23" t="s">
        <v>315</v>
      </c>
      <c r="E80" s="23" t="s">
        <v>30</v>
      </c>
      <c r="F80" s="8">
        <v>1</v>
      </c>
      <c r="G80" s="11" t="s">
        <v>316</v>
      </c>
      <c r="H80" s="23">
        <v>3.9725000038743019</v>
      </c>
      <c r="I80" s="8">
        <v>3.9612499997019768</v>
      </c>
      <c r="J80" s="11">
        <v>3.8800000213086605</v>
      </c>
      <c r="K80" s="23">
        <v>11.440000124275684</v>
      </c>
      <c r="L80" s="8">
        <v>11.19375005364418</v>
      </c>
      <c r="M80" s="11">
        <v>11.230000108480453</v>
      </c>
      <c r="N80" s="23" t="s">
        <v>32</v>
      </c>
      <c r="O80" s="8" t="s">
        <v>32</v>
      </c>
      <c r="P80" s="11" t="s">
        <v>32</v>
      </c>
      <c r="Q80" s="48">
        <v>34.818384999999999</v>
      </c>
      <c r="R80" s="8">
        <v>33.201587000000004</v>
      </c>
      <c r="S80" s="20">
        <v>34.027380000000001</v>
      </c>
      <c r="T80" s="69">
        <f t="shared" si="9"/>
        <v>48</v>
      </c>
      <c r="U80" s="23">
        <f t="shared" si="10"/>
        <v>0.12681521205477442</v>
      </c>
      <c r="V80" s="8">
        <f t="shared" si="11"/>
        <v>0.12358677402154079</v>
      </c>
      <c r="W80" s="11">
        <f t="shared" si="12"/>
        <v>0.12625177972432322</v>
      </c>
      <c r="X80" s="23">
        <f>U80/AVERAGE($U$96:$W$96)</f>
        <v>1.3419340104762398</v>
      </c>
      <c r="Y80" s="23">
        <f>V80/AVERAGE($U$96:$W$96)</f>
        <v>1.3077713045412453</v>
      </c>
      <c r="Z80" s="23">
        <f>W80/AVERAGE($U$96:$W$96)</f>
        <v>1.3359718786894965</v>
      </c>
    </row>
    <row r="81" spans="1:26" x14ac:dyDescent="0.3">
      <c r="A81" s="69" t="s">
        <v>26</v>
      </c>
      <c r="B81" s="11" t="s">
        <v>317</v>
      </c>
      <c r="C81" s="8" t="s">
        <v>318</v>
      </c>
      <c r="D81" s="23" t="s">
        <v>319</v>
      </c>
      <c r="E81" s="23" t="s">
        <v>30</v>
      </c>
      <c r="F81" s="8">
        <v>1</v>
      </c>
      <c r="G81" s="11" t="s">
        <v>320</v>
      </c>
      <c r="H81" s="23">
        <v>3.8325000554323196</v>
      </c>
      <c r="I81" s="8">
        <v>3.8987499661743641</v>
      </c>
      <c r="J81" s="11">
        <v>3.9137500338256359</v>
      </c>
      <c r="K81" s="23">
        <v>8.7687501683831215</v>
      </c>
      <c r="L81" s="8">
        <v>8.6149999871850014</v>
      </c>
      <c r="M81" s="11">
        <v>8.905000239610672</v>
      </c>
      <c r="N81" s="23" t="s">
        <v>32</v>
      </c>
      <c r="O81" s="8" t="s">
        <v>32</v>
      </c>
      <c r="P81" s="11" t="s">
        <v>32</v>
      </c>
      <c r="Q81" s="78">
        <v>37.022004000000003</v>
      </c>
      <c r="R81" s="12">
        <v>43.435274999999997</v>
      </c>
      <c r="S81" s="79">
        <v>40.268059999999998</v>
      </c>
      <c r="T81" s="69">
        <f t="shared" si="9"/>
        <v>48</v>
      </c>
      <c r="U81" s="23">
        <f t="shared" si="10"/>
        <v>0.17591828600180526</v>
      </c>
      <c r="V81" s="8">
        <f t="shared" si="11"/>
        <v>0.21007581284876622</v>
      </c>
      <c r="W81" s="11">
        <f t="shared" si="12"/>
        <v>0.18841502394015527</v>
      </c>
      <c r="X81" s="23">
        <f>U81/AVERAGE($U$96:$W$96)</f>
        <v>1.8615332279580488</v>
      </c>
      <c r="Y81" s="23">
        <f>V81/AVERAGE($U$96:$W$96)</f>
        <v>2.2229815609064181</v>
      </c>
      <c r="Z81" s="23">
        <f>W81/AVERAGE($U$96:$W$96)</f>
        <v>1.9937712882645469</v>
      </c>
    </row>
    <row r="82" spans="1:26" x14ac:dyDescent="0.3">
      <c r="A82" s="69" t="s">
        <v>26</v>
      </c>
      <c r="B82" s="11" t="s">
        <v>86</v>
      </c>
      <c r="C82" s="8" t="s">
        <v>86</v>
      </c>
      <c r="D82" s="23" t="s">
        <v>86</v>
      </c>
      <c r="E82" s="23" t="s">
        <v>87</v>
      </c>
      <c r="F82" s="8">
        <v>1</v>
      </c>
      <c r="G82" s="11" t="s">
        <v>88</v>
      </c>
      <c r="H82" s="23">
        <v>4.3374999426305294</v>
      </c>
      <c r="I82" s="8">
        <v>4.5037500560283661</v>
      </c>
      <c r="J82" s="11">
        <v>4.6049999073147774</v>
      </c>
      <c r="K82" s="23">
        <v>13.7537501007318</v>
      </c>
      <c r="L82" s="8">
        <v>11.462500013411001</v>
      </c>
      <c r="M82" s="11">
        <v>13.5637500509619</v>
      </c>
      <c r="N82" s="23" t="s">
        <v>32</v>
      </c>
      <c r="O82" s="8" t="s">
        <v>32</v>
      </c>
      <c r="P82" s="11" t="s">
        <v>32</v>
      </c>
      <c r="Q82" s="78">
        <v>23.873856</v>
      </c>
      <c r="R82" s="12">
        <v>21.690079000000001</v>
      </c>
      <c r="S82" s="79">
        <v>26.895451000000001</v>
      </c>
      <c r="T82" s="69">
        <f t="shared" si="9"/>
        <v>48</v>
      </c>
      <c r="U82" s="23">
        <f t="shared" si="10"/>
        <v>7.2325292572174363E-2</v>
      </c>
      <c r="V82" s="8">
        <f t="shared" si="11"/>
        <v>7.8844343782707535E-2</v>
      </c>
      <c r="W82" s="11">
        <f t="shared" si="12"/>
        <v>8.2620498568328746E-2</v>
      </c>
      <c r="X82" s="23">
        <f>U82/AVERAGE($U$96:$W$96)</f>
        <v>0.76533223694271557</v>
      </c>
      <c r="Y82" s="23">
        <f>V82/AVERAGE($U$96:$W$96)</f>
        <v>0.83431557414418822</v>
      </c>
      <c r="Z82" s="23">
        <f>W82/AVERAGE($U$96:$W$96)</f>
        <v>0.87427411266288746</v>
      </c>
    </row>
    <row r="83" spans="1:26" x14ac:dyDescent="0.3">
      <c r="A83" s="69" t="s">
        <v>321</v>
      </c>
      <c r="B83" s="11" t="s">
        <v>27</v>
      </c>
      <c r="C83" s="8" t="s">
        <v>28</v>
      </c>
      <c r="D83" s="23" t="s">
        <v>29</v>
      </c>
      <c r="E83" s="23" t="s">
        <v>30</v>
      </c>
      <c r="F83" s="8">
        <v>2</v>
      </c>
      <c r="G83" s="4" t="s">
        <v>322</v>
      </c>
      <c r="H83" s="33">
        <v>3.1174999661743641</v>
      </c>
      <c r="I83" s="3">
        <v>3.372499905526638</v>
      </c>
      <c r="J83" s="34">
        <v>3.2537500374019146</v>
      </c>
      <c r="K83" s="33">
        <v>7.9037502408027649</v>
      </c>
      <c r="L83" s="3">
        <v>7.7612500637769699</v>
      </c>
      <c r="M83" s="34">
        <v>8.7287500500679016</v>
      </c>
      <c r="N83" s="23" t="s">
        <v>32</v>
      </c>
      <c r="O83" s="8" t="s">
        <v>32</v>
      </c>
      <c r="P83" s="11" t="s">
        <v>32</v>
      </c>
      <c r="Q83" s="48">
        <v>61.197608819999999</v>
      </c>
      <c r="R83" s="8">
        <v>59.578980719999997</v>
      </c>
      <c r="S83" s="20">
        <v>50.574402200000002</v>
      </c>
      <c r="T83" s="69">
        <f t="shared" si="9"/>
        <v>48</v>
      </c>
      <c r="U83" s="23">
        <f t="shared" si="10"/>
        <v>0.3226190466313385</v>
      </c>
      <c r="V83" s="8">
        <f t="shared" si="11"/>
        <v>0.31985279556782192</v>
      </c>
      <c r="W83" s="11">
        <f t="shared" si="12"/>
        <v>0.24141678318729506</v>
      </c>
      <c r="X83" s="23">
        <f>U83/AVERAGE($U$96:$W$96)</f>
        <v>3.4138922617187215</v>
      </c>
      <c r="Y83" s="23">
        <f>V83/AVERAGE($U$96:$W$96)</f>
        <v>3.3846203287739134</v>
      </c>
      <c r="Z83" s="23">
        <f>W83/AVERAGE($U$96:$W$96)</f>
        <v>2.5546256384358021</v>
      </c>
    </row>
    <row r="84" spans="1:26" x14ac:dyDescent="0.3">
      <c r="A84" s="69" t="s">
        <v>321</v>
      </c>
      <c r="B84" s="11" t="s">
        <v>33</v>
      </c>
      <c r="C84" s="8" t="s">
        <v>34</v>
      </c>
      <c r="D84" s="23" t="s">
        <v>35</v>
      </c>
      <c r="E84" s="23" t="s">
        <v>30</v>
      </c>
      <c r="F84" s="8">
        <v>2</v>
      </c>
      <c r="G84" s="4" t="s">
        <v>323</v>
      </c>
      <c r="H84" s="33">
        <v>2.7687500230967999</v>
      </c>
      <c r="I84" s="3">
        <v>2.9974999837577343</v>
      </c>
      <c r="J84" s="34">
        <v>2.8962500393390656</v>
      </c>
      <c r="K84" s="33">
        <v>8.1075001507997513</v>
      </c>
      <c r="L84" s="3">
        <v>8.1700000911951065</v>
      </c>
      <c r="M84" s="34">
        <v>9.1837501153349876</v>
      </c>
      <c r="N84" s="23" t="s">
        <v>32</v>
      </c>
      <c r="O84" s="8" t="s">
        <v>32</v>
      </c>
      <c r="P84" s="11" t="s">
        <v>32</v>
      </c>
      <c r="Q84" s="48">
        <v>41.842504130000002</v>
      </c>
      <c r="R84" s="8">
        <v>42.46114876</v>
      </c>
      <c r="S84" s="20">
        <v>41.079637740000003</v>
      </c>
      <c r="T84" s="69">
        <f t="shared" si="9"/>
        <v>48</v>
      </c>
      <c r="U84" s="23">
        <f t="shared" si="10"/>
        <v>0.21504010356525924</v>
      </c>
      <c r="V84" s="8">
        <f t="shared" si="11"/>
        <v>0.2165501238578158</v>
      </c>
      <c r="W84" s="11">
        <f t="shared" si="12"/>
        <v>0.18637828240142243</v>
      </c>
      <c r="X84" s="23">
        <f>U84/AVERAGE($U$96:$W$96)</f>
        <v>2.2755127237094741</v>
      </c>
      <c r="Y84" s="23">
        <f>V84/AVERAGE($U$96:$W$96)</f>
        <v>2.2914914659617498</v>
      </c>
      <c r="Z84" s="23">
        <f>W84/AVERAGE($U$96:$W$96)</f>
        <v>1.9722188838085675</v>
      </c>
    </row>
    <row r="85" spans="1:26" x14ac:dyDescent="0.3">
      <c r="A85" s="69" t="s">
        <v>321</v>
      </c>
      <c r="B85" s="11" t="s">
        <v>37</v>
      </c>
      <c r="C85" s="8" t="s">
        <v>38</v>
      </c>
      <c r="D85" s="23" t="s">
        <v>39</v>
      </c>
      <c r="E85" s="23" t="s">
        <v>30</v>
      </c>
      <c r="F85" s="8">
        <v>2</v>
      </c>
      <c r="G85" s="4" t="s">
        <v>324</v>
      </c>
      <c r="H85" s="33">
        <v>3.3375000581145287</v>
      </c>
      <c r="I85" s="3">
        <v>4.1787499561905861</v>
      </c>
      <c r="J85" s="34">
        <v>3.9312500506639481</v>
      </c>
      <c r="K85" s="33">
        <v>8.6825001984834671</v>
      </c>
      <c r="L85" s="3">
        <v>8.3662500604987144</v>
      </c>
      <c r="M85" s="34">
        <v>8.3474999293684959</v>
      </c>
      <c r="N85" s="23" t="s">
        <v>32</v>
      </c>
      <c r="O85" s="8" t="s">
        <v>32</v>
      </c>
      <c r="P85" s="11" t="s">
        <v>32</v>
      </c>
      <c r="Q85" s="48">
        <v>51.062246559999998</v>
      </c>
      <c r="R85" s="8">
        <v>47.131539940000003</v>
      </c>
      <c r="S85" s="20">
        <v>58.724320939999998</v>
      </c>
      <c r="T85" s="69">
        <f t="shared" si="9"/>
        <v>48</v>
      </c>
      <c r="U85" s="23">
        <f t="shared" si="10"/>
        <v>0.24504388805407498</v>
      </c>
      <c r="V85" s="8">
        <f t="shared" si="11"/>
        <v>0.23473051247162977</v>
      </c>
      <c r="W85" s="11">
        <f t="shared" si="12"/>
        <v>0.29312329757856515</v>
      </c>
      <c r="X85" s="23">
        <f>U85/AVERAGE($U$96:$W$96)</f>
        <v>2.5930069595835641</v>
      </c>
      <c r="Y85" s="23">
        <f>V85/AVERAGE($U$96:$W$96)</f>
        <v>2.483872816820623</v>
      </c>
      <c r="Z85" s="23">
        <f>W85/AVERAGE($U$96:$W$96)</f>
        <v>3.1017739584248485</v>
      </c>
    </row>
    <row r="86" spans="1:26" x14ac:dyDescent="0.3">
      <c r="A86" s="69" t="s">
        <v>321</v>
      </c>
      <c r="B86" s="11" t="s">
        <v>41</v>
      </c>
      <c r="C86" s="8" t="s">
        <v>42</v>
      </c>
      <c r="D86" s="23" t="s">
        <v>43</v>
      </c>
      <c r="E86" s="23" t="s">
        <v>30</v>
      </c>
      <c r="F86" s="8">
        <v>2</v>
      </c>
      <c r="G86" s="4" t="s">
        <v>325</v>
      </c>
      <c r="H86" s="33">
        <v>3.2637500204145908</v>
      </c>
      <c r="I86" s="3">
        <v>3.5612499341368675</v>
      </c>
      <c r="J86" s="34">
        <v>3.5887501202523708</v>
      </c>
      <c r="K86" s="33">
        <v>8.932499960064888</v>
      </c>
      <c r="L86" s="3">
        <v>8.6712498217821121</v>
      </c>
      <c r="M86" s="34">
        <v>6.9050000980496407</v>
      </c>
      <c r="N86" s="23" t="s">
        <v>32</v>
      </c>
      <c r="O86" s="8" t="s">
        <v>32</v>
      </c>
      <c r="P86" s="11" t="s">
        <v>32</v>
      </c>
      <c r="Q86" s="48">
        <v>18.608455920000001</v>
      </c>
      <c r="R86" s="8">
        <v>22.013752069999999</v>
      </c>
      <c r="S86" s="20">
        <v>28.215431129999999</v>
      </c>
      <c r="T86" s="69">
        <f t="shared" si="9"/>
        <v>48</v>
      </c>
      <c r="U86" s="23">
        <f t="shared" si="10"/>
        <v>8.6801268789971284E-2</v>
      </c>
      <c r="V86" s="8">
        <f t="shared" si="11"/>
        <v>0.10577940763270761</v>
      </c>
      <c r="W86" s="11">
        <f t="shared" si="12"/>
        <v>0.17025965924056505</v>
      </c>
      <c r="X86" s="23">
        <f>U86/AVERAGE($U$96:$W$96)</f>
        <v>0.91851421335353012</v>
      </c>
      <c r="Y86" s="23">
        <f>V86/AVERAGE($U$96:$W$96)</f>
        <v>1.1193372026145354</v>
      </c>
      <c r="Z86" s="23">
        <f>W86/AVERAGE($U$96:$W$96)</f>
        <v>1.8016547356189796</v>
      </c>
    </row>
    <row r="87" spans="1:26" x14ac:dyDescent="0.3">
      <c r="A87" s="69" t="s">
        <v>321</v>
      </c>
      <c r="B87" s="11" t="s">
        <v>45</v>
      </c>
      <c r="C87" s="8" t="s">
        <v>46</v>
      </c>
      <c r="D87" s="23" t="s">
        <v>47</v>
      </c>
      <c r="E87" s="23" t="s">
        <v>30</v>
      </c>
      <c r="F87" s="8">
        <v>2</v>
      </c>
      <c r="G87" s="4" t="s">
        <v>326</v>
      </c>
      <c r="H87" s="33">
        <v>2.9387500137090683</v>
      </c>
      <c r="I87" s="3">
        <v>2.9850000515580177</v>
      </c>
      <c r="J87" s="34">
        <v>3.0587499961256981</v>
      </c>
      <c r="K87" s="33">
        <v>8.8012499734759331</v>
      </c>
      <c r="L87" s="3">
        <v>8.0775000154972076</v>
      </c>
      <c r="M87" s="34">
        <v>9.0562500059604645</v>
      </c>
      <c r="N87" s="23" t="s">
        <v>32</v>
      </c>
      <c r="O87" s="8" t="s">
        <v>32</v>
      </c>
      <c r="P87" s="11" t="s">
        <v>32</v>
      </c>
      <c r="Q87" s="48">
        <v>37.540033059999999</v>
      </c>
      <c r="R87" s="8">
        <v>41.877039940000003</v>
      </c>
      <c r="S87" s="20">
        <v>34.072066120000002</v>
      </c>
      <c r="T87" s="69">
        <f t="shared" si="9"/>
        <v>48</v>
      </c>
      <c r="U87" s="23">
        <f t="shared" si="10"/>
        <v>0.17772112471302981</v>
      </c>
      <c r="V87" s="8">
        <f t="shared" si="11"/>
        <v>0.21601691870244602</v>
      </c>
      <c r="W87" s="11">
        <f t="shared" si="12"/>
        <v>0.15676128869369735</v>
      </c>
      <c r="X87" s="23">
        <f>U87/AVERAGE($U$96:$W$96)</f>
        <v>1.8806105179991712</v>
      </c>
      <c r="Y87" s="23">
        <f>V87/AVERAGE($U$96:$W$96)</f>
        <v>2.2858491922868622</v>
      </c>
      <c r="Z87" s="23">
        <f>W87/AVERAGE($U$96:$W$96)</f>
        <v>1.6588175930604929</v>
      </c>
    </row>
    <row r="88" spans="1:26" x14ac:dyDescent="0.3">
      <c r="A88" s="69" t="s">
        <v>321</v>
      </c>
      <c r="B88" s="11" t="s">
        <v>49</v>
      </c>
      <c r="C88" s="8" t="s">
        <v>50</v>
      </c>
      <c r="D88" s="23" t="s">
        <v>51</v>
      </c>
      <c r="E88" s="23" t="s">
        <v>30</v>
      </c>
      <c r="F88" s="8">
        <v>2</v>
      </c>
      <c r="G88" s="4" t="s">
        <v>327</v>
      </c>
      <c r="H88" s="33">
        <v>2.8024999890476465</v>
      </c>
      <c r="I88" s="3">
        <v>2.8350000269711018</v>
      </c>
      <c r="J88" s="34">
        <v>2.8337499592453241</v>
      </c>
      <c r="K88" s="33">
        <v>8.2512497901916504</v>
      </c>
      <c r="L88" s="3">
        <v>8.4837500005960464</v>
      </c>
      <c r="M88" s="34">
        <v>8.9475000277161598</v>
      </c>
      <c r="N88" s="23" t="s">
        <v>32</v>
      </c>
      <c r="O88" s="8" t="s">
        <v>32</v>
      </c>
      <c r="P88" s="11" t="s">
        <v>32</v>
      </c>
      <c r="Q88" s="48">
        <v>66.436811289999994</v>
      </c>
      <c r="R88" s="8">
        <v>70.437961430000001</v>
      </c>
      <c r="S88" s="20">
        <v>68.630717630000007</v>
      </c>
      <c r="T88" s="69">
        <f t="shared" si="9"/>
        <v>48</v>
      </c>
      <c r="U88" s="23">
        <f t="shared" si="10"/>
        <v>0.33548862788122791</v>
      </c>
      <c r="V88" s="8">
        <f t="shared" si="11"/>
        <v>0.34594549101248079</v>
      </c>
      <c r="W88" s="11">
        <f t="shared" si="12"/>
        <v>0.31959913112324928</v>
      </c>
      <c r="X88" s="23">
        <f>U88/AVERAGE($U$96:$W$96)</f>
        <v>3.5500756777300002</v>
      </c>
      <c r="Y88" s="23">
        <f>V88/AVERAGE($U$96:$W$96)</f>
        <v>3.6607281779415866</v>
      </c>
      <c r="Z88" s="23">
        <f>W88/AVERAGE($U$96:$W$96)</f>
        <v>3.3819361007550102</v>
      </c>
    </row>
    <row r="89" spans="1:26" x14ac:dyDescent="0.3">
      <c r="A89" s="69" t="s">
        <v>321</v>
      </c>
      <c r="B89" s="11" t="s">
        <v>53</v>
      </c>
      <c r="C89" s="8" t="s">
        <v>54</v>
      </c>
      <c r="D89" s="23" t="s">
        <v>53</v>
      </c>
      <c r="E89" s="23" t="s">
        <v>30</v>
      </c>
      <c r="F89" s="8">
        <v>2</v>
      </c>
      <c r="G89" s="4" t="s">
        <v>328</v>
      </c>
      <c r="H89" s="33">
        <v>3.3099999651312828</v>
      </c>
      <c r="I89" s="3">
        <v>3.1912499573081732</v>
      </c>
      <c r="J89" s="34">
        <v>3.1850000843405724</v>
      </c>
      <c r="K89" s="33">
        <v>8.398750051856041</v>
      </c>
      <c r="L89" s="3">
        <v>7.5662501156330109</v>
      </c>
      <c r="M89" s="34">
        <v>8.3699999377131462</v>
      </c>
      <c r="N89" s="23" t="s">
        <v>32</v>
      </c>
      <c r="O89" s="8" t="s">
        <v>32</v>
      </c>
      <c r="P89" s="11" t="s">
        <v>32</v>
      </c>
      <c r="Q89" s="48">
        <v>50.565260330000001</v>
      </c>
      <c r="R89" s="8">
        <v>50.045742420000003</v>
      </c>
      <c r="S89" s="20">
        <v>54.747449039999999</v>
      </c>
      <c r="T89" s="69">
        <f t="shared" si="9"/>
        <v>48</v>
      </c>
      <c r="U89" s="23">
        <f t="shared" si="10"/>
        <v>0.25085707207321079</v>
      </c>
      <c r="V89" s="8">
        <f t="shared" si="11"/>
        <v>0.27559745390805707</v>
      </c>
      <c r="W89" s="11">
        <f t="shared" si="12"/>
        <v>0.27253807968644439</v>
      </c>
      <c r="X89" s="23">
        <f>U89/AVERAGE($U$96:$W$96)</f>
        <v>2.6545209468886983</v>
      </c>
      <c r="Y89" s="23">
        <f>V89/AVERAGE($U$96:$W$96)</f>
        <v>2.9163188753738787</v>
      </c>
      <c r="Z89" s="23">
        <f>W89/AVERAGE($U$96:$W$96)</f>
        <v>2.8839451699466223</v>
      </c>
    </row>
    <row r="90" spans="1:26" x14ac:dyDescent="0.3">
      <c r="A90" s="69" t="s">
        <v>321</v>
      </c>
      <c r="B90" s="11" t="s">
        <v>56</v>
      </c>
      <c r="C90" s="8" t="s">
        <v>57</v>
      </c>
      <c r="D90" s="23" t="s">
        <v>58</v>
      </c>
      <c r="E90" s="23" t="s">
        <v>30</v>
      </c>
      <c r="F90" s="8">
        <v>2</v>
      </c>
      <c r="G90" s="4" t="s">
        <v>329</v>
      </c>
      <c r="H90" s="33">
        <v>3.1462499871850014</v>
      </c>
      <c r="I90" s="3">
        <v>2.9337500222027302</v>
      </c>
      <c r="J90" s="34">
        <v>3.0512499623000622</v>
      </c>
      <c r="K90" s="33">
        <v>9.4099998474121094</v>
      </c>
      <c r="L90" s="3">
        <v>9.1162499040365219</v>
      </c>
      <c r="M90" s="34">
        <v>8.8187498971819878</v>
      </c>
      <c r="N90" s="23" t="s">
        <v>32</v>
      </c>
      <c r="O90" s="8" t="s">
        <v>32</v>
      </c>
      <c r="P90" s="11" t="s">
        <v>32</v>
      </c>
      <c r="Q90" s="48">
        <v>51.752951789999997</v>
      </c>
      <c r="R90" s="8">
        <v>46.781898069999997</v>
      </c>
      <c r="S90" s="20">
        <v>57.99386501</v>
      </c>
      <c r="T90" s="69">
        <f t="shared" si="9"/>
        <v>48</v>
      </c>
      <c r="U90" s="23">
        <f t="shared" si="10"/>
        <v>0.22915760108572528</v>
      </c>
      <c r="V90" s="8">
        <f t="shared" si="11"/>
        <v>0.21382100901529402</v>
      </c>
      <c r="W90" s="11">
        <f t="shared" si="12"/>
        <v>0.27400834248122768</v>
      </c>
      <c r="X90" s="23">
        <f>U90/AVERAGE($U$96:$W$96)</f>
        <v>2.4249013479807067</v>
      </c>
      <c r="Y90" s="23">
        <f>V90/AVERAGE($U$96:$W$96)</f>
        <v>2.2626125013144041</v>
      </c>
      <c r="Z90" s="23">
        <f>W90/AVERAGE($U$96:$W$96)</f>
        <v>2.8995032060582946</v>
      </c>
    </row>
    <row r="91" spans="1:26" x14ac:dyDescent="0.3">
      <c r="A91" s="69" t="s">
        <v>321</v>
      </c>
      <c r="B91" s="11" t="s">
        <v>60</v>
      </c>
      <c r="C91" s="8" t="s">
        <v>61</v>
      </c>
      <c r="D91" s="23" t="s">
        <v>62</v>
      </c>
      <c r="E91" s="23" t="s">
        <v>30</v>
      </c>
      <c r="F91" s="8">
        <v>2</v>
      </c>
      <c r="G91" s="4" t="s">
        <v>330</v>
      </c>
      <c r="H91" s="33">
        <v>3.496250044554472</v>
      </c>
      <c r="I91" s="3">
        <v>3.7537500262260437</v>
      </c>
      <c r="J91" s="34">
        <v>3.2774999737739563</v>
      </c>
      <c r="K91" s="33">
        <v>8.1687498837709427</v>
      </c>
      <c r="L91" s="3">
        <v>8.2725001499056816</v>
      </c>
      <c r="M91" s="34">
        <v>9.0562500059604645</v>
      </c>
      <c r="N91" s="23" t="s">
        <v>32</v>
      </c>
      <c r="O91" s="8" t="s">
        <v>32</v>
      </c>
      <c r="P91" s="11" t="s">
        <v>32</v>
      </c>
      <c r="Q91" s="48">
        <v>52.019224520000002</v>
      </c>
      <c r="R91" s="8">
        <v>56.105484850000003</v>
      </c>
      <c r="S91" s="20">
        <v>63.754922870000001</v>
      </c>
      <c r="T91" s="69">
        <f t="shared" si="9"/>
        <v>48</v>
      </c>
      <c r="U91" s="23">
        <f t="shared" si="10"/>
        <v>0.26533652262257351</v>
      </c>
      <c r="V91" s="8">
        <f t="shared" si="11"/>
        <v>0.28259032856509775</v>
      </c>
      <c r="W91" s="11">
        <f t="shared" si="12"/>
        <v>0.29332837740068568</v>
      </c>
      <c r="X91" s="23">
        <f>U91/AVERAGE($U$96:$W$96)</f>
        <v>2.8077396880031813</v>
      </c>
      <c r="Y91" s="23">
        <f>V91/AVERAGE($U$96:$W$96)</f>
        <v>2.9903161205090054</v>
      </c>
      <c r="Z91" s="23">
        <f>W91/AVERAGE($U$96:$W$96)</f>
        <v>3.1039440733795676</v>
      </c>
    </row>
    <row r="92" spans="1:26" x14ac:dyDescent="0.3">
      <c r="A92" s="69" t="s">
        <v>321</v>
      </c>
      <c r="B92" s="11" t="s">
        <v>64</v>
      </c>
      <c r="C92" s="8" t="s">
        <v>65</v>
      </c>
      <c r="D92" s="23" t="s">
        <v>64</v>
      </c>
      <c r="E92" s="23" t="s">
        <v>30</v>
      </c>
      <c r="F92" s="8">
        <v>2</v>
      </c>
      <c r="G92" s="4" t="s">
        <v>331</v>
      </c>
      <c r="H92" s="33">
        <v>3.4012499265372753</v>
      </c>
      <c r="I92" s="3">
        <v>3.0187499709427357</v>
      </c>
      <c r="J92" s="34">
        <v>3.2912500202655792</v>
      </c>
      <c r="K92" s="33">
        <v>8.6562501266598701</v>
      </c>
      <c r="L92" s="3">
        <v>7.9737499356269836</v>
      </c>
      <c r="M92" s="34">
        <v>8.7799999862909317</v>
      </c>
      <c r="N92" s="23" t="s">
        <v>32</v>
      </c>
      <c r="O92" s="8" t="s">
        <v>32</v>
      </c>
      <c r="P92" s="11" t="s">
        <v>32</v>
      </c>
      <c r="Q92" s="48">
        <v>42.641139119999998</v>
      </c>
      <c r="R92" s="8">
        <v>31.389827820000001</v>
      </c>
      <c r="S92" s="20">
        <v>54.921545450000004</v>
      </c>
      <c r="T92" s="69">
        <f t="shared" si="9"/>
        <v>48</v>
      </c>
      <c r="U92" s="23">
        <f t="shared" si="10"/>
        <v>0.20525217085952771</v>
      </c>
      <c r="V92" s="8">
        <f t="shared" si="11"/>
        <v>0.16402690115176755</v>
      </c>
      <c r="W92" s="11">
        <f t="shared" si="12"/>
        <v>0.26063755474446831</v>
      </c>
      <c r="X92" s="23">
        <f>U92/AVERAGE($U$96:$W$96)</f>
        <v>2.1719387156921974</v>
      </c>
      <c r="Y92" s="23">
        <f>V92/AVERAGE($U$96:$W$96)</f>
        <v>1.735700896778134</v>
      </c>
      <c r="Z92" s="23">
        <f>W92/AVERAGE($U$96:$W$96)</f>
        <v>2.7580161200842066</v>
      </c>
    </row>
    <row r="93" spans="1:26" x14ac:dyDescent="0.3">
      <c r="A93" s="69" t="s">
        <v>321</v>
      </c>
      <c r="B93" s="11" t="s">
        <v>67</v>
      </c>
      <c r="C93" s="8" t="s">
        <v>68</v>
      </c>
      <c r="D93" s="23" t="s">
        <v>69</v>
      </c>
      <c r="E93" s="23" t="s">
        <v>30</v>
      </c>
      <c r="F93" s="8">
        <v>2</v>
      </c>
      <c r="G93" s="4" t="s">
        <v>332</v>
      </c>
      <c r="H93" s="33">
        <v>3.0149999540299177</v>
      </c>
      <c r="I93" s="3">
        <v>3.1662500463426113</v>
      </c>
      <c r="J93" s="34">
        <v>2.8812499716877937</v>
      </c>
      <c r="K93" s="33">
        <v>9.2875000089406967</v>
      </c>
      <c r="L93" s="3">
        <v>9.2374999076128006</v>
      </c>
      <c r="M93" s="34">
        <v>9.3412498012185097</v>
      </c>
      <c r="N93" s="23" t="s">
        <v>32</v>
      </c>
      <c r="O93" s="8" t="s">
        <v>32</v>
      </c>
      <c r="P93" s="11" t="s">
        <v>32</v>
      </c>
      <c r="Q93" s="48">
        <v>41.835559230000001</v>
      </c>
      <c r="R93" s="8">
        <v>42.77758815</v>
      </c>
      <c r="S93" s="20">
        <v>55.5226708</v>
      </c>
      <c r="T93" s="69">
        <f t="shared" si="9"/>
        <v>48</v>
      </c>
      <c r="U93" s="23">
        <f t="shared" si="10"/>
        <v>0.18768756926750388</v>
      </c>
      <c r="V93" s="8">
        <f t="shared" si="11"/>
        <v>0.19295258718011898</v>
      </c>
      <c r="W93" s="11">
        <f t="shared" si="12"/>
        <v>0.24765900344136946</v>
      </c>
      <c r="X93" s="23">
        <f>U93/AVERAGE($U$96:$W$96)</f>
        <v>1.986073503822968</v>
      </c>
      <c r="Y93" s="23">
        <f>V93/AVERAGE($U$96:$W$96)</f>
        <v>2.0417869035659986</v>
      </c>
      <c r="Z93" s="23">
        <f>W93/AVERAGE($U$96:$W$96)</f>
        <v>2.6206796040768325</v>
      </c>
    </row>
    <row r="94" spans="1:26" x14ac:dyDescent="0.3">
      <c r="A94" s="69" t="s">
        <v>321</v>
      </c>
      <c r="B94" s="11" t="s">
        <v>71</v>
      </c>
      <c r="C94" s="8" t="s">
        <v>72</v>
      </c>
      <c r="D94" s="23" t="s">
        <v>73</v>
      </c>
      <c r="E94" s="23" t="s">
        <v>30</v>
      </c>
      <c r="F94" s="8">
        <v>2</v>
      </c>
      <c r="G94" s="4" t="s">
        <v>333</v>
      </c>
      <c r="H94" s="33">
        <v>3.3200000412762165</v>
      </c>
      <c r="I94" s="3">
        <v>3.7525000050663948</v>
      </c>
      <c r="J94" s="34">
        <v>2.9600000008940697</v>
      </c>
      <c r="K94" s="33">
        <v>9.1324999928474426</v>
      </c>
      <c r="L94" s="3">
        <v>7.9899998381733894</v>
      </c>
      <c r="M94" s="34">
        <v>8.8324999436736107</v>
      </c>
      <c r="N94" s="23" t="s">
        <v>32</v>
      </c>
      <c r="O94" s="8" t="s">
        <v>32</v>
      </c>
      <c r="P94" s="11" t="s">
        <v>32</v>
      </c>
      <c r="Q94" s="48">
        <v>53.704190079999996</v>
      </c>
      <c r="R94" s="8">
        <v>48.098271349999997</v>
      </c>
      <c r="S94" s="20">
        <v>54.31501377</v>
      </c>
      <c r="T94" s="69">
        <f t="shared" si="9"/>
        <v>48</v>
      </c>
      <c r="U94" s="23">
        <f t="shared" si="10"/>
        <v>0.24502322347869798</v>
      </c>
      <c r="V94" s="8">
        <f t="shared" si="11"/>
        <v>0.25082536673010664</v>
      </c>
      <c r="W94" s="11">
        <f t="shared" si="12"/>
        <v>0.25622706914037313</v>
      </c>
      <c r="X94" s="23">
        <f>U94/AVERAGE($U$96:$W$96)</f>
        <v>2.5927882910495521</v>
      </c>
      <c r="Y94" s="23">
        <f>V94/AVERAGE($U$96:$W$96)</f>
        <v>2.6541854470891404</v>
      </c>
      <c r="Z94" s="23">
        <f>W94/AVERAGE($U$96:$W$96)</f>
        <v>2.7113452157111984</v>
      </c>
    </row>
    <row r="95" spans="1:26" x14ac:dyDescent="0.3">
      <c r="A95" s="69" t="s">
        <v>321</v>
      </c>
      <c r="B95" s="11" t="s">
        <v>75</v>
      </c>
      <c r="C95" s="8" t="s">
        <v>76</v>
      </c>
      <c r="D95" s="23" t="s">
        <v>77</v>
      </c>
      <c r="E95" s="23" t="s">
        <v>30</v>
      </c>
      <c r="F95" s="8">
        <v>2</v>
      </c>
      <c r="G95" s="4" t="s">
        <v>334</v>
      </c>
      <c r="H95" s="33">
        <v>3.0300000216811895</v>
      </c>
      <c r="I95" s="3">
        <v>3.4037499688565731</v>
      </c>
      <c r="J95" s="34">
        <v>2.8000000398606062</v>
      </c>
      <c r="K95" s="33">
        <v>8.7212501093745232</v>
      </c>
      <c r="L95" s="3">
        <v>8.893749862909317</v>
      </c>
      <c r="M95" s="34">
        <v>9.5250001177191734</v>
      </c>
      <c r="N95" s="23" t="s">
        <v>32</v>
      </c>
      <c r="O95" s="8" t="s">
        <v>32</v>
      </c>
      <c r="P95" s="11" t="s">
        <v>32</v>
      </c>
      <c r="Q95" s="48">
        <v>41.96899449</v>
      </c>
      <c r="R95" s="8">
        <v>50.55981405</v>
      </c>
      <c r="S95" s="20">
        <v>61.974820940000001</v>
      </c>
      <c r="T95" s="69">
        <f t="shared" si="9"/>
        <v>48</v>
      </c>
      <c r="U95" s="23">
        <f t="shared" si="10"/>
        <v>0.20051117463886323</v>
      </c>
      <c r="V95" s="8">
        <f t="shared" si="11"/>
        <v>0.23686959395335086</v>
      </c>
      <c r="W95" s="11">
        <f t="shared" si="12"/>
        <v>0.27110595001773913</v>
      </c>
      <c r="X95" s="23">
        <f>U95/AVERAGE($U$96:$W$96)</f>
        <v>2.1217704119929452</v>
      </c>
      <c r="Y95" s="23">
        <f>V95/AVERAGE($U$96:$W$96)</f>
        <v>2.5065081627305568</v>
      </c>
      <c r="Z95" s="23">
        <f>W95/AVERAGE($U$96:$W$96)</f>
        <v>2.8687906511889074</v>
      </c>
    </row>
    <row r="96" spans="1:26" x14ac:dyDescent="0.3">
      <c r="A96" s="69" t="s">
        <v>321</v>
      </c>
      <c r="B96" s="11" t="s">
        <v>86</v>
      </c>
      <c r="C96" s="8" t="s">
        <v>86</v>
      </c>
      <c r="D96" s="23" t="s">
        <v>86</v>
      </c>
      <c r="E96" s="23" t="s">
        <v>87</v>
      </c>
      <c r="F96" s="8">
        <v>2</v>
      </c>
      <c r="G96" s="57" t="s">
        <v>335</v>
      </c>
      <c r="H96" s="33">
        <v>3.97749999538064</v>
      </c>
      <c r="I96" s="3">
        <v>3.7337500602006912</v>
      </c>
      <c r="J96" s="34">
        <v>2.8875000309199095</v>
      </c>
      <c r="K96" s="33">
        <v>8.8074998930096626</v>
      </c>
      <c r="L96" s="3">
        <v>9.3250000849366188</v>
      </c>
      <c r="M96" s="34">
        <v>15.166250191628899</v>
      </c>
      <c r="N96" s="23" t="s">
        <v>32</v>
      </c>
      <c r="O96" s="8" t="s">
        <v>32</v>
      </c>
      <c r="P96" s="11" t="s">
        <v>32</v>
      </c>
      <c r="Q96" s="48">
        <v>20.394822309999999</v>
      </c>
      <c r="R96" s="8">
        <v>22.30472039</v>
      </c>
      <c r="S96" s="20">
        <v>31.797322309999998</v>
      </c>
      <c r="T96" s="69">
        <f t="shared" si="9"/>
        <v>48</v>
      </c>
      <c r="U96" s="23">
        <f t="shared" si="10"/>
        <v>9.6484163864835645E-2</v>
      </c>
      <c r="V96" s="8">
        <f t="shared" si="11"/>
        <v>9.9663629074342272E-2</v>
      </c>
      <c r="W96" s="11">
        <f t="shared" si="12"/>
        <v>8.7357679903936516E-2</v>
      </c>
      <c r="X96" s="23">
        <f>U96/AVERAGE($U$96:$W$96)</f>
        <v>1.0209767335062467</v>
      </c>
      <c r="Y96" s="23">
        <f>V96/AVERAGE($U$96:$W$96)</f>
        <v>1.054621218506359</v>
      </c>
      <c r="Z96" s="23">
        <f>W96/AVERAGE($U$96:$W$96)</f>
        <v>0.92440204798739412</v>
      </c>
    </row>
    <row r="97" spans="1:26" x14ac:dyDescent="0.3">
      <c r="A97" s="69" t="s">
        <v>321</v>
      </c>
      <c r="B97" s="11" t="s">
        <v>89</v>
      </c>
      <c r="C97" s="8" t="s">
        <v>90</v>
      </c>
      <c r="D97" s="23" t="s">
        <v>668</v>
      </c>
      <c r="E97" s="23" t="s">
        <v>82</v>
      </c>
      <c r="F97" s="8">
        <v>4</v>
      </c>
      <c r="G97" s="11" t="s">
        <v>336</v>
      </c>
      <c r="H97" s="5">
        <v>5.3500000387430191</v>
      </c>
      <c r="I97" s="6">
        <v>5.6562499143183231</v>
      </c>
      <c r="J97" s="35">
        <v>5.3587500937283039</v>
      </c>
      <c r="K97" s="5">
        <v>10.580000095069408</v>
      </c>
      <c r="L97" s="6">
        <v>11.384999938309193</v>
      </c>
      <c r="M97" s="35">
        <v>10.520000010728836</v>
      </c>
      <c r="N97" s="5">
        <v>11.93000003695488</v>
      </c>
      <c r="O97" s="6">
        <v>12.041249871253967</v>
      </c>
      <c r="P97" s="35">
        <v>11.304999887943268</v>
      </c>
      <c r="Q97" s="7">
        <v>329.64784607438014</v>
      </c>
      <c r="R97" s="6">
        <v>347.02659779614328</v>
      </c>
      <c r="S97" s="26">
        <v>334.19245006887053</v>
      </c>
      <c r="T97" s="69">
        <f t="shared" si="9"/>
        <v>72</v>
      </c>
      <c r="U97" s="23">
        <f t="shared" si="10"/>
        <v>0.6491175234566825</v>
      </c>
      <c r="V97" s="8">
        <f t="shared" si="11"/>
        <v>0.63502159214709231</v>
      </c>
      <c r="W97" s="11">
        <f t="shared" si="12"/>
        <v>0.66181964854254571</v>
      </c>
      <c r="X97" s="23">
        <f>U97/AVERAGE($U$104:$W$104)</f>
        <v>1.0730762628372317</v>
      </c>
      <c r="Y97" s="23">
        <f t="shared" ref="Y97:Z104" si="13">V97/AVERAGE($U$104:$W$104)</f>
        <v>1.0497738426370247</v>
      </c>
      <c r="Z97" s="23">
        <f t="shared" si="13"/>
        <v>1.0940745388422373</v>
      </c>
    </row>
    <row r="98" spans="1:26" x14ac:dyDescent="0.3">
      <c r="A98" s="69" t="s">
        <v>321</v>
      </c>
      <c r="B98" s="11" t="s">
        <v>93</v>
      </c>
      <c r="C98" s="8" t="s">
        <v>94</v>
      </c>
      <c r="D98" s="23" t="s">
        <v>667</v>
      </c>
      <c r="E98" s="23" t="s">
        <v>82</v>
      </c>
      <c r="F98" s="8">
        <v>4</v>
      </c>
      <c r="G98" s="11" t="s">
        <v>337</v>
      </c>
      <c r="H98" s="5">
        <v>5.7737500406801701</v>
      </c>
      <c r="I98" s="6">
        <v>5.6412500329315662</v>
      </c>
      <c r="J98" s="35">
        <v>5.4637499153614044</v>
      </c>
      <c r="K98" s="5">
        <v>10.73249988257885</v>
      </c>
      <c r="L98" s="6">
        <v>10.803749971091747</v>
      </c>
      <c r="M98" s="35">
        <v>10.525000095367432</v>
      </c>
      <c r="N98" s="5">
        <v>12.850000150501728</v>
      </c>
      <c r="O98" s="6">
        <v>13.237500190734863</v>
      </c>
      <c r="P98" s="35">
        <v>12.682499922811985</v>
      </c>
      <c r="Q98" s="7">
        <v>303.323825757576</v>
      </c>
      <c r="R98" s="6">
        <v>305.12819387052298</v>
      </c>
      <c r="S98" s="26">
        <v>296.02138774104702</v>
      </c>
      <c r="T98" s="69">
        <f t="shared" si="9"/>
        <v>72</v>
      </c>
      <c r="U98" s="23">
        <f t="shared" si="10"/>
        <v>0.58879538216506233</v>
      </c>
      <c r="V98" s="8">
        <f t="shared" si="11"/>
        <v>0.58839175187429726</v>
      </c>
      <c r="W98" s="11">
        <f t="shared" si="12"/>
        <v>0.58594890154153967</v>
      </c>
      <c r="X98" s="23">
        <f t="shared" ref="X98:X104" si="14">U98/AVERAGE($U$104:$W$104)</f>
        <v>0.97335586459740364</v>
      </c>
      <c r="Y98" s="23">
        <f t="shared" si="13"/>
        <v>0.97268861087472558</v>
      </c>
      <c r="Z98" s="23">
        <f t="shared" si="13"/>
        <v>0.96865025940365923</v>
      </c>
    </row>
    <row r="99" spans="1:26" x14ac:dyDescent="0.3">
      <c r="A99" s="69" t="s">
        <v>321</v>
      </c>
      <c r="B99" s="11" t="s">
        <v>97</v>
      </c>
      <c r="C99" s="8" t="s">
        <v>98</v>
      </c>
      <c r="D99" s="23" t="s">
        <v>99</v>
      </c>
      <c r="E99" s="23" t="s">
        <v>82</v>
      </c>
      <c r="F99" s="8">
        <v>4</v>
      </c>
      <c r="G99" s="11" t="s">
        <v>338</v>
      </c>
      <c r="H99" s="5">
        <v>6.0100000351667404</v>
      </c>
      <c r="I99" s="6">
        <v>6.0312499292194843</v>
      </c>
      <c r="J99" s="35">
        <v>6.2637500464916229</v>
      </c>
      <c r="K99" s="5">
        <v>11.773749813437462</v>
      </c>
      <c r="L99" s="6">
        <v>11.477500200271606</v>
      </c>
      <c r="M99" s="35">
        <v>11.313749849796295</v>
      </c>
      <c r="N99" s="5">
        <v>12.436250038444996</v>
      </c>
      <c r="O99" s="6">
        <v>12.521250359714031</v>
      </c>
      <c r="P99" s="35">
        <v>11.89500018954277</v>
      </c>
      <c r="Q99" s="7">
        <v>326.28653753443501</v>
      </c>
      <c r="R99" s="6">
        <v>319.21362258953201</v>
      </c>
      <c r="S99" s="26">
        <v>320.89456611570301</v>
      </c>
      <c r="T99" s="69">
        <f t="shared" si="9"/>
        <v>72</v>
      </c>
      <c r="U99" s="23">
        <f t="shared" si="10"/>
        <v>0.5773552441955131</v>
      </c>
      <c r="V99" s="8">
        <f t="shared" si="11"/>
        <v>0.57941918430907191</v>
      </c>
      <c r="W99" s="11">
        <f t="shared" si="12"/>
        <v>0.59090076672184699</v>
      </c>
      <c r="X99" s="23">
        <f t="shared" si="14"/>
        <v>0.95444381854242544</v>
      </c>
      <c r="Y99" s="23">
        <f t="shared" si="13"/>
        <v>0.95785578180600128</v>
      </c>
      <c r="Z99" s="23">
        <f t="shared" si="13"/>
        <v>0.97683634095243843</v>
      </c>
    </row>
    <row r="100" spans="1:26" x14ac:dyDescent="0.3">
      <c r="A100" s="69" t="s">
        <v>321</v>
      </c>
      <c r="B100" s="11" t="s">
        <v>101</v>
      </c>
      <c r="C100" s="8" t="s">
        <v>102</v>
      </c>
      <c r="D100" s="23" t="s">
        <v>666</v>
      </c>
      <c r="E100" s="23" t="s">
        <v>82</v>
      </c>
      <c r="F100" s="8">
        <v>4</v>
      </c>
      <c r="G100" s="11" t="s">
        <v>339</v>
      </c>
      <c r="H100" s="5">
        <v>5.2462499588727951</v>
      </c>
      <c r="I100" s="6">
        <v>5.7500000111758709</v>
      </c>
      <c r="J100" s="35">
        <v>5.2750000730156898</v>
      </c>
      <c r="K100" s="5">
        <v>10.174999944865704</v>
      </c>
      <c r="L100" s="6">
        <v>10.694999992847443</v>
      </c>
      <c r="M100" s="35">
        <v>10.34999992698431</v>
      </c>
      <c r="N100" s="5">
        <v>11.332500167191029</v>
      </c>
      <c r="O100" s="6">
        <v>11.531249992549419</v>
      </c>
      <c r="P100" s="35">
        <v>11.738749966025352</v>
      </c>
      <c r="Q100" s="7">
        <v>213.88732954545455</v>
      </c>
      <c r="R100" s="6">
        <v>213.45875688705235</v>
      </c>
      <c r="S100" s="26">
        <v>208.0892097107438</v>
      </c>
      <c r="T100" s="69">
        <f t="shared" si="9"/>
        <v>72</v>
      </c>
      <c r="U100" s="23">
        <f t="shared" si="10"/>
        <v>0.43793474755205836</v>
      </c>
      <c r="V100" s="8">
        <f t="shared" si="11"/>
        <v>0.41580714708938832</v>
      </c>
      <c r="W100" s="11">
        <f t="shared" si="12"/>
        <v>0.41885912073015619</v>
      </c>
      <c r="X100" s="23">
        <f t="shared" si="14"/>
        <v>0.72396348163151925</v>
      </c>
      <c r="Y100" s="23">
        <f t="shared" si="13"/>
        <v>0.68738366064071854</v>
      </c>
      <c r="Z100" s="23">
        <f t="shared" si="13"/>
        <v>0.69242897269957793</v>
      </c>
    </row>
    <row r="101" spans="1:26" x14ac:dyDescent="0.3">
      <c r="A101" s="69" t="s">
        <v>321</v>
      </c>
      <c r="B101" s="11" t="s">
        <v>105</v>
      </c>
      <c r="C101" s="8" t="s">
        <v>106</v>
      </c>
      <c r="D101" s="23" t="s">
        <v>669</v>
      </c>
      <c r="E101" s="23" t="s">
        <v>82</v>
      </c>
      <c r="F101" s="8">
        <v>4</v>
      </c>
      <c r="G101" s="11" t="s">
        <v>340</v>
      </c>
      <c r="H101" s="5">
        <v>5.7287500239908695</v>
      </c>
      <c r="I101" s="6">
        <v>6.3049999997019768</v>
      </c>
      <c r="J101" s="35">
        <v>6.3400001265108585</v>
      </c>
      <c r="K101" s="5">
        <v>11.270000040531158</v>
      </c>
      <c r="L101" s="6">
        <v>11.425000056624413</v>
      </c>
      <c r="M101" s="35">
        <v>11.331249959766865</v>
      </c>
      <c r="N101" s="5">
        <v>11.291249769926001</v>
      </c>
      <c r="O101" s="6">
        <v>11.4237501010298</v>
      </c>
      <c r="P101" s="35">
        <v>11.3337499809265</v>
      </c>
      <c r="Q101" s="7">
        <v>436.21071453168003</v>
      </c>
      <c r="R101" s="6">
        <v>434.68321280991699</v>
      </c>
      <c r="S101" s="26">
        <v>429.93579717630899</v>
      </c>
      <c r="T101" s="69">
        <f t="shared" si="9"/>
        <v>72</v>
      </c>
      <c r="U101" s="23">
        <f t="shared" si="10"/>
        <v>0.80636408045493624</v>
      </c>
      <c r="V101" s="8">
        <f t="shared" si="11"/>
        <v>0.79263896910201792</v>
      </c>
      <c r="W101" s="11">
        <f t="shared" si="12"/>
        <v>0.79046846608357091</v>
      </c>
      <c r="X101" s="23">
        <f t="shared" si="14"/>
        <v>1.3330254116895783</v>
      </c>
      <c r="Y101" s="23">
        <f t="shared" si="13"/>
        <v>1.310336005433552</v>
      </c>
      <c r="Z101" s="23">
        <f t="shared" si="13"/>
        <v>1.3067478797346661</v>
      </c>
    </row>
    <row r="102" spans="1:26" x14ac:dyDescent="0.3">
      <c r="A102" s="69" t="s">
        <v>321</v>
      </c>
      <c r="B102" s="11" t="s">
        <v>109</v>
      </c>
      <c r="C102" s="8" t="s">
        <v>110</v>
      </c>
      <c r="D102" s="23" t="s">
        <v>665</v>
      </c>
      <c r="E102" s="23" t="s">
        <v>82</v>
      </c>
      <c r="F102" s="8">
        <v>4</v>
      </c>
      <c r="G102" s="11" t="s">
        <v>341</v>
      </c>
      <c r="H102" s="5">
        <v>5.6850000284612179</v>
      </c>
      <c r="I102" s="6">
        <v>6.0799998231232166</v>
      </c>
      <c r="J102" s="35">
        <v>5.5012499913573265</v>
      </c>
      <c r="K102" s="5">
        <v>11.494999937713146</v>
      </c>
      <c r="L102" s="6">
        <v>11.108750104904175</v>
      </c>
      <c r="M102" s="35">
        <v>10.730000026524067</v>
      </c>
      <c r="N102" s="5">
        <v>12.273749895393848</v>
      </c>
      <c r="O102" s="6">
        <v>11.903749965131283</v>
      </c>
      <c r="P102" s="35">
        <v>11.800000071525574</v>
      </c>
      <c r="Q102" s="7">
        <v>301.149576446281</v>
      </c>
      <c r="R102" s="6">
        <v>293.90121384297521</v>
      </c>
      <c r="S102" s="26">
        <v>289.6860123966942</v>
      </c>
      <c r="T102" s="69">
        <f t="shared" si="9"/>
        <v>72</v>
      </c>
      <c r="U102" s="23">
        <f t="shared" si="10"/>
        <v>0.54579813338787031</v>
      </c>
      <c r="V102" s="8">
        <f t="shared" si="11"/>
        <v>0.55118189690475539</v>
      </c>
      <c r="W102" s="11">
        <f t="shared" si="12"/>
        <v>0.56245342435656198</v>
      </c>
      <c r="X102" s="23">
        <f t="shared" si="14"/>
        <v>0.90227578223510563</v>
      </c>
      <c r="Y102" s="23">
        <f t="shared" si="13"/>
        <v>0.91117584828775777</v>
      </c>
      <c r="Z102" s="23">
        <f t="shared" si="13"/>
        <v>0.92980915907875672</v>
      </c>
    </row>
    <row r="103" spans="1:26" x14ac:dyDescent="0.3">
      <c r="A103" s="69" t="s">
        <v>321</v>
      </c>
      <c r="B103" s="11" t="s">
        <v>113</v>
      </c>
      <c r="C103" s="8" t="s">
        <v>114</v>
      </c>
      <c r="D103" s="23" t="s">
        <v>670</v>
      </c>
      <c r="E103" s="23" t="s">
        <v>82</v>
      </c>
      <c r="F103" s="8">
        <v>4</v>
      </c>
      <c r="G103" s="11" t="s">
        <v>342</v>
      </c>
      <c r="H103" s="5">
        <v>6.2987499870359898</v>
      </c>
      <c r="I103" s="6">
        <v>6.6375000402331352</v>
      </c>
      <c r="J103" s="35">
        <v>6.2562499195337296</v>
      </c>
      <c r="K103" s="5">
        <v>12.051250040531158</v>
      </c>
      <c r="L103" s="6">
        <v>12.156249955296516</v>
      </c>
      <c r="M103" s="35">
        <v>11.501249857246876</v>
      </c>
      <c r="N103" s="5">
        <v>12.871250137686729</v>
      </c>
      <c r="O103" s="6">
        <v>12.703749909996986</v>
      </c>
      <c r="P103" s="35">
        <v>12.612500041723251</v>
      </c>
      <c r="Q103" s="7">
        <v>289.60321453168001</v>
      </c>
      <c r="R103" s="6">
        <v>279.95804924242401</v>
      </c>
      <c r="S103" s="26">
        <v>272.57212121212098</v>
      </c>
      <c r="T103" s="69">
        <f t="shared" si="9"/>
        <v>72</v>
      </c>
      <c r="U103" s="23">
        <f t="shared" si="10"/>
        <v>0.50064518472785846</v>
      </c>
      <c r="V103" s="8">
        <f t="shared" si="11"/>
        <v>0.47979100303675032</v>
      </c>
      <c r="W103" s="11">
        <f t="shared" si="12"/>
        <v>0.49373641378704658</v>
      </c>
      <c r="X103" s="23">
        <f t="shared" si="14"/>
        <v>0.82763204569546145</v>
      </c>
      <c r="Y103" s="23">
        <f t="shared" si="13"/>
        <v>0.79315735267769349</v>
      </c>
      <c r="Z103" s="23">
        <f t="shared" si="13"/>
        <v>0.8162109426839671</v>
      </c>
    </row>
    <row r="104" spans="1:26" x14ac:dyDescent="0.3">
      <c r="A104" s="69" t="s">
        <v>321</v>
      </c>
      <c r="B104" s="11" t="s">
        <v>86</v>
      </c>
      <c r="C104" s="8" t="s">
        <v>86</v>
      </c>
      <c r="D104" s="23" t="s">
        <v>86</v>
      </c>
      <c r="E104" s="23" t="s">
        <v>87</v>
      </c>
      <c r="F104" s="8">
        <v>4</v>
      </c>
      <c r="G104" s="11" t="s">
        <v>335</v>
      </c>
      <c r="H104" s="5">
        <v>5.5437500588595867</v>
      </c>
      <c r="I104" s="6">
        <v>5.5112500675022602</v>
      </c>
      <c r="J104" s="35">
        <v>5.2899999544024467</v>
      </c>
      <c r="K104" s="5">
        <v>10.639999993145466</v>
      </c>
      <c r="L104" s="6">
        <v>10.905000008642673</v>
      </c>
      <c r="M104" s="35">
        <v>10.581249929964542</v>
      </c>
      <c r="N104" s="5">
        <v>12.053749896585941</v>
      </c>
      <c r="O104" s="6">
        <v>11.893749982118607</v>
      </c>
      <c r="P104" s="35">
        <v>11.573750153183937</v>
      </c>
      <c r="Q104" s="7">
        <v>311.97205750688698</v>
      </c>
      <c r="R104" s="6">
        <v>309.49972107437998</v>
      </c>
      <c r="S104" s="26">
        <v>311.14487603305798</v>
      </c>
      <c r="T104" s="69">
        <f t="shared" si="9"/>
        <v>72</v>
      </c>
      <c r="U104" s="23">
        <f t="shared" si="10"/>
        <v>0.61084754407085406</v>
      </c>
      <c r="V104" s="8">
        <f t="shared" si="11"/>
        <v>0.59128022472315522</v>
      </c>
      <c r="W104" s="11">
        <f t="shared" si="12"/>
        <v>0.61261051012496937</v>
      </c>
      <c r="X104" s="23">
        <f t="shared" si="14"/>
        <v>1.0098109757756304</v>
      </c>
      <c r="Y104" s="23">
        <f t="shared" si="13"/>
        <v>0.97746363471548336</v>
      </c>
      <c r="Z104" s="23">
        <f t="shared" si="13"/>
        <v>1.0127253895088859</v>
      </c>
    </row>
    <row r="105" spans="1:26" x14ac:dyDescent="0.3">
      <c r="A105" s="69" t="s">
        <v>321</v>
      </c>
      <c r="B105" s="11" t="s">
        <v>343</v>
      </c>
      <c r="C105" s="8"/>
      <c r="D105" s="23" t="s">
        <v>344</v>
      </c>
      <c r="E105" s="23" t="s">
        <v>120</v>
      </c>
      <c r="F105" s="8">
        <v>3</v>
      </c>
      <c r="G105" s="11" t="s">
        <v>345</v>
      </c>
      <c r="H105" s="36">
        <v>4.9550000578165054</v>
      </c>
      <c r="I105" s="10">
        <v>6.1537499539554119</v>
      </c>
      <c r="J105" s="37">
        <v>4.9762500450015068</v>
      </c>
      <c r="K105" s="36">
        <v>10.083749890327454</v>
      </c>
      <c r="L105" s="10">
        <v>11.648749932646751</v>
      </c>
      <c r="M105" s="37">
        <v>10.333750024437904</v>
      </c>
      <c r="N105" s="23" t="s">
        <v>32</v>
      </c>
      <c r="O105" s="8" t="s">
        <v>32</v>
      </c>
      <c r="P105" s="11" t="s">
        <v>32</v>
      </c>
      <c r="Q105" s="49">
        <v>126.68888980716252</v>
      </c>
      <c r="R105" s="10">
        <v>125.3839090909091</v>
      </c>
      <c r="S105" s="42">
        <v>124.34989669421486</v>
      </c>
      <c r="T105" s="69">
        <f t="shared" si="9"/>
        <v>48</v>
      </c>
      <c r="U105" s="23">
        <f t="shared" si="10"/>
        <v>0.52348618315380369</v>
      </c>
      <c r="V105" s="8">
        <f t="shared" si="11"/>
        <v>0.44848842799971655</v>
      </c>
      <c r="W105" s="11">
        <f t="shared" si="12"/>
        <v>0.50139065521609771</v>
      </c>
      <c r="X105" s="23">
        <f>U105/AVERAGE($U$141:$W$142)</f>
        <v>1.2952767073736207</v>
      </c>
      <c r="Y105" s="23">
        <f t="shared" ref="Y105:Z120" si="15">V105/AVERAGE($U$141:$W$142)</f>
        <v>1.109707635099066</v>
      </c>
      <c r="Z105" s="23">
        <f t="shared" si="15"/>
        <v>1.2406051160387543</v>
      </c>
    </row>
    <row r="106" spans="1:26" x14ac:dyDescent="0.3">
      <c r="A106" s="69" t="s">
        <v>321</v>
      </c>
      <c r="B106" s="11" t="s">
        <v>346</v>
      </c>
      <c r="C106" s="8"/>
      <c r="D106" s="23" t="s">
        <v>346</v>
      </c>
      <c r="E106" s="23" t="s">
        <v>120</v>
      </c>
      <c r="F106" s="8">
        <v>3</v>
      </c>
      <c r="G106" s="11" t="s">
        <v>347</v>
      </c>
      <c r="H106" s="36">
        <v>5.5562498979270458</v>
      </c>
      <c r="I106" s="10">
        <v>5.5824999697506428</v>
      </c>
      <c r="J106" s="37">
        <v>5.1687500439584255</v>
      </c>
      <c r="K106" s="36">
        <v>9.6799999475479126</v>
      </c>
      <c r="L106" s="10">
        <v>10.107499919831753</v>
      </c>
      <c r="M106" s="37">
        <v>9.7237501293420792</v>
      </c>
      <c r="N106" s="23" t="s">
        <v>32</v>
      </c>
      <c r="O106" s="8" t="s">
        <v>32</v>
      </c>
      <c r="P106" s="11" t="s">
        <v>32</v>
      </c>
      <c r="Q106" s="49">
        <v>111.42804683195592</v>
      </c>
      <c r="R106" s="10">
        <v>103.29859504132232</v>
      </c>
      <c r="S106" s="42">
        <v>103.03657438016529</v>
      </c>
      <c r="T106" s="69">
        <f t="shared" si="9"/>
        <v>48</v>
      </c>
      <c r="U106" s="23">
        <f t="shared" si="10"/>
        <v>0.47963174688249138</v>
      </c>
      <c r="V106" s="8">
        <f t="shared" si="11"/>
        <v>0.42583311015187308</v>
      </c>
      <c r="W106" s="11">
        <f t="shared" si="12"/>
        <v>0.44151593182331567</v>
      </c>
      <c r="X106" s="23">
        <f t="shared" ref="X106:Z142" si="16">U106/AVERAGE($U$141:$W$142)</f>
        <v>1.1867664321357689</v>
      </c>
      <c r="Y106" s="23">
        <f t="shared" si="15"/>
        <v>1.0536509397156926</v>
      </c>
      <c r="Z106" s="23">
        <f t="shared" si="15"/>
        <v>1.0924553900920755</v>
      </c>
    </row>
    <row r="107" spans="1:26" x14ac:dyDescent="0.3">
      <c r="A107" s="69" t="s">
        <v>321</v>
      </c>
      <c r="B107" s="11" t="s">
        <v>348</v>
      </c>
      <c r="C107" s="8"/>
      <c r="D107" s="23" t="s">
        <v>349</v>
      </c>
      <c r="E107" s="23" t="s">
        <v>120</v>
      </c>
      <c r="F107" s="8">
        <v>3</v>
      </c>
      <c r="G107" s="11" t="s">
        <v>350</v>
      </c>
      <c r="H107" s="36">
        <v>5.5362499319016933</v>
      </c>
      <c r="I107" s="10">
        <v>5.5112499743700027</v>
      </c>
      <c r="J107" s="37">
        <v>5.5649999529123306</v>
      </c>
      <c r="K107" s="36">
        <v>9.6462501212954521</v>
      </c>
      <c r="L107" s="10">
        <v>11.018750071525574</v>
      </c>
      <c r="M107" s="37">
        <v>10.553750023245811</v>
      </c>
      <c r="N107" s="23" t="s">
        <v>32</v>
      </c>
      <c r="O107" s="8" t="s">
        <v>32</v>
      </c>
      <c r="P107" s="11" t="s">
        <v>32</v>
      </c>
      <c r="Q107" s="49">
        <v>119.68993112947658</v>
      </c>
      <c r="R107" s="10">
        <v>120.52874242424241</v>
      </c>
      <c r="S107" s="42">
        <v>118.048037190082</v>
      </c>
      <c r="T107" s="69">
        <f t="shared" si="9"/>
        <v>48</v>
      </c>
      <c r="U107" s="23">
        <f t="shared" si="10"/>
        <v>0.51699680197162934</v>
      </c>
      <c r="V107" s="8">
        <f t="shared" si="11"/>
        <v>0.45577138075953477</v>
      </c>
      <c r="W107" s="11">
        <f t="shared" si="12"/>
        <v>0.46605881373156471</v>
      </c>
      <c r="X107" s="23">
        <f t="shared" si="16"/>
        <v>1.2792198474964431</v>
      </c>
      <c r="Y107" s="23">
        <f t="shared" si="15"/>
        <v>1.1277280516339629</v>
      </c>
      <c r="Z107" s="23">
        <f t="shared" si="15"/>
        <v>1.1531825387553982</v>
      </c>
    </row>
    <row r="108" spans="1:26" x14ac:dyDescent="0.3">
      <c r="A108" s="69" t="s">
        <v>321</v>
      </c>
      <c r="B108" s="11" t="s">
        <v>351</v>
      </c>
      <c r="C108" s="8"/>
      <c r="D108" s="23" t="s">
        <v>351</v>
      </c>
      <c r="E108" s="23" t="s">
        <v>120</v>
      </c>
      <c r="F108" s="8">
        <v>3</v>
      </c>
      <c r="G108" s="11" t="s">
        <v>352</v>
      </c>
      <c r="H108" s="36">
        <v>4.4562500901520252</v>
      </c>
      <c r="I108" s="10">
        <v>4.3899999931454659</v>
      </c>
      <c r="J108" s="37">
        <v>4.1362499818205833</v>
      </c>
      <c r="K108" s="36">
        <v>8.8762501254677773</v>
      </c>
      <c r="L108" s="10">
        <v>8.7874999269843102</v>
      </c>
      <c r="M108" s="37">
        <v>8.5312500596046448</v>
      </c>
      <c r="N108" s="23" t="s">
        <v>32</v>
      </c>
      <c r="O108" s="8" t="s">
        <v>32</v>
      </c>
      <c r="P108" s="11" t="s">
        <v>32</v>
      </c>
      <c r="Q108" s="49">
        <v>87.630949035811994</v>
      </c>
      <c r="R108" s="10">
        <v>89.460280991735004</v>
      </c>
      <c r="S108" s="42">
        <v>91.703924242423994</v>
      </c>
      <c r="T108" s="69">
        <f t="shared" si="9"/>
        <v>48</v>
      </c>
      <c r="U108" s="23">
        <f t="shared" si="10"/>
        <v>0.41135496313725284</v>
      </c>
      <c r="V108" s="8">
        <f t="shared" si="11"/>
        <v>0.4241834126840402</v>
      </c>
      <c r="W108" s="11">
        <f t="shared" si="12"/>
        <v>0.44788241075322621</v>
      </c>
      <c r="X108" s="23">
        <f t="shared" si="16"/>
        <v>1.0178272500034109</v>
      </c>
      <c r="Y108" s="23">
        <f t="shared" si="15"/>
        <v>1.0495690464908827</v>
      </c>
      <c r="Z108" s="23">
        <f t="shared" si="15"/>
        <v>1.1082081494413614</v>
      </c>
    </row>
    <row r="109" spans="1:26" x14ac:dyDescent="0.3">
      <c r="A109" s="69" t="s">
        <v>321</v>
      </c>
      <c r="B109" s="11" t="s">
        <v>353</v>
      </c>
      <c r="C109" s="8"/>
      <c r="D109" s="23" t="s">
        <v>354</v>
      </c>
      <c r="E109" s="23" t="s">
        <v>120</v>
      </c>
      <c r="F109" s="8">
        <v>3</v>
      </c>
      <c r="G109" s="11" t="s">
        <v>355</v>
      </c>
      <c r="H109" s="36">
        <v>5.5199999362230301</v>
      </c>
      <c r="I109" s="10">
        <v>5.7687500491738319</v>
      </c>
      <c r="J109" s="37">
        <v>6.0712500475347042</v>
      </c>
      <c r="K109" s="36">
        <v>10.411250032484531</v>
      </c>
      <c r="L109" s="10">
        <v>10.673750005662441</v>
      </c>
      <c r="M109" s="37">
        <v>10.096250079572201</v>
      </c>
      <c r="N109" s="23" t="s">
        <v>32</v>
      </c>
      <c r="O109" s="8" t="s">
        <v>32</v>
      </c>
      <c r="P109" s="11" t="s">
        <v>32</v>
      </c>
      <c r="Q109" s="49">
        <v>137.27403856749311</v>
      </c>
      <c r="R109" s="10">
        <v>121.82246556473828</v>
      </c>
      <c r="S109" s="42">
        <v>126.140625344353</v>
      </c>
      <c r="T109" s="69">
        <f t="shared" si="9"/>
        <v>48</v>
      </c>
      <c r="U109" s="23">
        <f t="shared" si="10"/>
        <v>0.54938183110889349</v>
      </c>
      <c r="V109" s="8">
        <f t="shared" si="11"/>
        <v>0.47555320880708618</v>
      </c>
      <c r="W109" s="11">
        <f t="shared" si="12"/>
        <v>0.52057539660019436</v>
      </c>
      <c r="X109" s="23">
        <f t="shared" si="16"/>
        <v>1.3593510434267657</v>
      </c>
      <c r="Y109" s="23">
        <f t="shared" si="15"/>
        <v>1.1766747897214807</v>
      </c>
      <c r="Z109" s="23">
        <f t="shared" si="15"/>
        <v>1.2880744656634153</v>
      </c>
    </row>
    <row r="110" spans="1:26" x14ac:dyDescent="0.3">
      <c r="A110" s="69" t="s">
        <v>321</v>
      </c>
      <c r="B110" s="11" t="s">
        <v>356</v>
      </c>
      <c r="C110" s="8"/>
      <c r="D110" s="23" t="s">
        <v>357</v>
      </c>
      <c r="E110" s="23" t="s">
        <v>120</v>
      </c>
      <c r="F110" s="8">
        <v>3</v>
      </c>
      <c r="G110" s="11" t="s">
        <v>358</v>
      </c>
      <c r="H110" s="36">
        <v>6.1637499369680882</v>
      </c>
      <c r="I110" s="10">
        <v>6.4050000160932541</v>
      </c>
      <c r="J110" s="37">
        <v>6.6499998793005943</v>
      </c>
      <c r="K110" s="36">
        <v>11.950000189244747</v>
      </c>
      <c r="L110" s="10">
        <v>12.416250072419643</v>
      </c>
      <c r="M110" s="37">
        <v>11.425000056624413</v>
      </c>
      <c r="N110" s="23" t="s">
        <v>32</v>
      </c>
      <c r="O110" s="8" t="s">
        <v>32</v>
      </c>
      <c r="P110" s="11" t="s">
        <v>32</v>
      </c>
      <c r="Q110" s="49">
        <v>141.96320661157026</v>
      </c>
      <c r="R110" s="10">
        <v>137.442986225895</v>
      </c>
      <c r="S110" s="42">
        <v>130.79761845729999</v>
      </c>
      <c r="T110" s="69">
        <f t="shared" si="9"/>
        <v>48</v>
      </c>
      <c r="U110" s="23">
        <f t="shared" si="10"/>
        <v>0.49499025231306465</v>
      </c>
      <c r="V110" s="8">
        <f t="shared" si="11"/>
        <v>0.46123354952930679</v>
      </c>
      <c r="W110" s="11">
        <f t="shared" si="12"/>
        <v>0.47701538223575057</v>
      </c>
      <c r="X110" s="23">
        <f t="shared" si="16"/>
        <v>1.224768417640796</v>
      </c>
      <c r="Y110" s="23">
        <f t="shared" si="15"/>
        <v>1.1412432507106702</v>
      </c>
      <c r="Z110" s="23">
        <f t="shared" si="15"/>
        <v>1.1802926868985932</v>
      </c>
    </row>
    <row r="111" spans="1:26" x14ac:dyDescent="0.3">
      <c r="A111" s="69" t="s">
        <v>321</v>
      </c>
      <c r="B111" s="11" t="s">
        <v>359</v>
      </c>
      <c r="C111" s="8"/>
      <c r="D111" s="23" t="s">
        <v>360</v>
      </c>
      <c r="E111" s="23" t="s">
        <v>120</v>
      </c>
      <c r="F111" s="8">
        <v>3</v>
      </c>
      <c r="G111" s="11" t="s">
        <v>361</v>
      </c>
      <c r="H111" s="36">
        <v>5.3499999456107616</v>
      </c>
      <c r="I111" s="10">
        <v>6.4262498170137405</v>
      </c>
      <c r="J111" s="37">
        <v>6.0112499631941319</v>
      </c>
      <c r="K111" s="36">
        <v>11.121250130236149</v>
      </c>
      <c r="L111" s="10">
        <v>11.191249825060368</v>
      </c>
      <c r="M111" s="37">
        <v>10.940000042319298</v>
      </c>
      <c r="N111" s="23" t="s">
        <v>32</v>
      </c>
      <c r="O111" s="8" t="s">
        <v>32</v>
      </c>
      <c r="P111" s="11" t="s">
        <v>32</v>
      </c>
      <c r="Q111" s="49">
        <v>169.174527548209</v>
      </c>
      <c r="R111" s="10">
        <v>163.78386088154301</v>
      </c>
      <c r="S111" s="42">
        <v>165.837657024793</v>
      </c>
      <c r="T111" s="69">
        <f t="shared" si="9"/>
        <v>48</v>
      </c>
      <c r="U111" s="23">
        <f t="shared" si="10"/>
        <v>0.63382610455613986</v>
      </c>
      <c r="V111" s="8">
        <f t="shared" si="11"/>
        <v>0.60979136766738617</v>
      </c>
      <c r="W111" s="11">
        <f t="shared" si="12"/>
        <v>0.63161813064930583</v>
      </c>
      <c r="X111" s="23">
        <f t="shared" si="16"/>
        <v>1.5682939037871715</v>
      </c>
      <c r="Y111" s="23">
        <f t="shared" si="15"/>
        <v>1.5088240727549558</v>
      </c>
      <c r="Z111" s="23">
        <f t="shared" si="15"/>
        <v>1.5628306513384043</v>
      </c>
    </row>
    <row r="112" spans="1:26" x14ac:dyDescent="0.3">
      <c r="A112" s="69" t="s">
        <v>321</v>
      </c>
      <c r="B112" s="11" t="s">
        <v>362</v>
      </c>
      <c r="C112" s="8"/>
      <c r="D112" s="23" t="s">
        <v>363</v>
      </c>
      <c r="E112" s="23" t="s">
        <v>120</v>
      </c>
      <c r="F112" s="8">
        <v>3</v>
      </c>
      <c r="G112" s="11" t="s">
        <v>364</v>
      </c>
      <c r="H112" s="36">
        <v>4.6587499789893627</v>
      </c>
      <c r="I112" s="10">
        <v>4.5574999414384365</v>
      </c>
      <c r="J112" s="37">
        <v>4.6287499368190765</v>
      </c>
      <c r="K112" s="36">
        <v>8.3825001493096352</v>
      </c>
      <c r="L112" s="10">
        <v>9.0212499722838402</v>
      </c>
      <c r="M112" s="37">
        <v>8.69625024497509</v>
      </c>
      <c r="N112" s="23" t="s">
        <v>32</v>
      </c>
      <c r="O112" s="8" t="s">
        <v>32</v>
      </c>
      <c r="P112" s="11" t="s">
        <v>32</v>
      </c>
      <c r="Q112" s="49">
        <v>88.285899449035824</v>
      </c>
      <c r="R112" s="10">
        <v>97.904508264462805</v>
      </c>
      <c r="S112" s="42">
        <v>91.834059228650133</v>
      </c>
      <c r="T112" s="69">
        <f t="shared" si="9"/>
        <v>48</v>
      </c>
      <c r="U112" s="23">
        <f t="shared" si="10"/>
        <v>0.43884033142698908</v>
      </c>
      <c r="V112" s="8">
        <f t="shared" si="11"/>
        <v>0.45219393360702376</v>
      </c>
      <c r="W112" s="11">
        <f t="shared" si="12"/>
        <v>0.44000793752894696</v>
      </c>
      <c r="X112" s="23">
        <f t="shared" si="16"/>
        <v>1.0858350761599631</v>
      </c>
      <c r="Y112" s="23">
        <f t="shared" si="15"/>
        <v>1.1188762726995298</v>
      </c>
      <c r="Z112" s="23">
        <f t="shared" si="15"/>
        <v>1.0887241170476172</v>
      </c>
    </row>
    <row r="113" spans="1:26" x14ac:dyDescent="0.3">
      <c r="A113" s="69" t="s">
        <v>321</v>
      </c>
      <c r="B113" s="11" t="s">
        <v>365</v>
      </c>
      <c r="C113" s="8"/>
      <c r="D113" s="23" t="s">
        <v>366</v>
      </c>
      <c r="E113" s="23" t="s">
        <v>120</v>
      </c>
      <c r="F113" s="8">
        <v>3</v>
      </c>
      <c r="G113" s="11" t="s">
        <v>367</v>
      </c>
      <c r="H113" s="36">
        <v>5.1124999299645424</v>
      </c>
      <c r="I113" s="10">
        <v>5.5112499743700027</v>
      </c>
      <c r="J113" s="37">
        <v>5.3500000387430191</v>
      </c>
      <c r="K113" s="36">
        <v>6.9975002929568202</v>
      </c>
      <c r="L113" s="10">
        <v>6.5362500995396999</v>
      </c>
      <c r="M113" s="37">
        <v>6.8362503573298401</v>
      </c>
      <c r="N113" s="23" t="s">
        <v>32</v>
      </c>
      <c r="O113" s="8" t="s">
        <v>32</v>
      </c>
      <c r="P113" s="11" t="s">
        <v>32</v>
      </c>
      <c r="Q113" s="49">
        <v>86.086016528925995</v>
      </c>
      <c r="R113" s="10">
        <v>82.340920110192997</v>
      </c>
      <c r="S113" s="42">
        <v>84.939848484848</v>
      </c>
      <c r="T113" s="69">
        <f t="shared" si="9"/>
        <v>48</v>
      </c>
      <c r="U113" s="23">
        <f t="shared" si="10"/>
        <v>0.51259981496281593</v>
      </c>
      <c r="V113" s="8">
        <f t="shared" si="11"/>
        <v>0.52489908112598882</v>
      </c>
      <c r="W113" s="11">
        <f t="shared" si="12"/>
        <v>0.51770490671697522</v>
      </c>
      <c r="X113" s="23">
        <f t="shared" si="16"/>
        <v>1.2683402578560281</v>
      </c>
      <c r="Y113" s="23">
        <f t="shared" si="15"/>
        <v>1.2987726808914719</v>
      </c>
      <c r="Z113" s="23">
        <f t="shared" si="15"/>
        <v>1.2809719311474412</v>
      </c>
    </row>
    <row r="114" spans="1:26" x14ac:dyDescent="0.3">
      <c r="A114" s="69" t="s">
        <v>321</v>
      </c>
      <c r="B114" s="11" t="s">
        <v>368</v>
      </c>
      <c r="C114" s="8"/>
      <c r="D114" s="23" t="s">
        <v>369</v>
      </c>
      <c r="E114" s="23" t="s">
        <v>120</v>
      </c>
      <c r="F114" s="8">
        <v>3</v>
      </c>
      <c r="G114" s="11" t="s">
        <v>370</v>
      </c>
      <c r="H114" s="36">
        <v>2.7487500105053186</v>
      </c>
      <c r="I114" s="10">
        <v>2.8100000228732824</v>
      </c>
      <c r="J114" s="37">
        <v>2.6787500362843275</v>
      </c>
      <c r="K114" s="36">
        <v>5.6137500330805779</v>
      </c>
      <c r="L114" s="10">
        <v>6.0562499798834324</v>
      </c>
      <c r="M114" s="37">
        <v>5.5824999697506428</v>
      </c>
      <c r="N114" s="23" t="s">
        <v>32</v>
      </c>
      <c r="O114" s="8" t="s">
        <v>32</v>
      </c>
      <c r="P114" s="11" t="s">
        <v>32</v>
      </c>
      <c r="Q114" s="49">
        <v>66.034166666666678</v>
      </c>
      <c r="R114" s="10">
        <v>72.484381542699737</v>
      </c>
      <c r="S114" s="42">
        <v>64.399118457300304</v>
      </c>
      <c r="T114" s="69">
        <f t="shared" si="9"/>
        <v>48</v>
      </c>
      <c r="U114" s="23">
        <f t="shared" si="10"/>
        <v>0.49012221685995733</v>
      </c>
      <c r="V114" s="8">
        <f t="shared" si="11"/>
        <v>0.49868855716178456</v>
      </c>
      <c r="W114" s="11">
        <f t="shared" si="12"/>
        <v>0.48066217947644146</v>
      </c>
      <c r="X114" s="23">
        <f t="shared" si="16"/>
        <v>1.2127232994772355</v>
      </c>
      <c r="Y114" s="23">
        <f t="shared" si="15"/>
        <v>1.233919238200097</v>
      </c>
      <c r="Z114" s="23">
        <f t="shared" si="15"/>
        <v>1.1893160607227569</v>
      </c>
    </row>
    <row r="115" spans="1:26" x14ac:dyDescent="0.3">
      <c r="A115" s="69" t="s">
        <v>321</v>
      </c>
      <c r="B115" s="11" t="s">
        <v>371</v>
      </c>
      <c r="C115" s="8"/>
      <c r="D115" s="23" t="s">
        <v>372</v>
      </c>
      <c r="E115" s="23" t="s">
        <v>120</v>
      </c>
      <c r="F115" s="8">
        <v>3</v>
      </c>
      <c r="G115" s="11" t="s">
        <v>373</v>
      </c>
      <c r="H115" s="36">
        <v>5.4387500509619713</v>
      </c>
      <c r="I115" s="10">
        <v>5.6524999439716339</v>
      </c>
      <c r="J115" s="37">
        <v>5.5787499062716961</v>
      </c>
      <c r="K115" s="36">
        <v>10.09875014424324</v>
      </c>
      <c r="L115" s="10">
        <v>9.908749908208847</v>
      </c>
      <c r="M115" s="37">
        <v>9.8987501114606857</v>
      </c>
      <c r="N115" s="23" t="s">
        <v>32</v>
      </c>
      <c r="O115" s="8" t="s">
        <v>32</v>
      </c>
      <c r="P115" s="11" t="s">
        <v>32</v>
      </c>
      <c r="Q115" s="49">
        <v>153.16906198347107</v>
      </c>
      <c r="R115" s="10">
        <v>137.3585523415978</v>
      </c>
      <c r="S115" s="42">
        <v>138.76333333333335</v>
      </c>
      <c r="T115" s="69">
        <f t="shared" si="9"/>
        <v>48</v>
      </c>
      <c r="U115" s="23">
        <f t="shared" si="10"/>
        <v>0.63196377355165656</v>
      </c>
      <c r="V115" s="8">
        <f t="shared" si="11"/>
        <v>0.5775978874481259</v>
      </c>
      <c r="W115" s="11">
        <f t="shared" si="12"/>
        <v>0.58409450591761403</v>
      </c>
      <c r="X115" s="23">
        <f t="shared" si="16"/>
        <v>1.5636858853730193</v>
      </c>
      <c r="Y115" s="23">
        <f t="shared" si="15"/>
        <v>1.4291668317441657</v>
      </c>
      <c r="Z115" s="23">
        <f t="shared" si="15"/>
        <v>1.4452415990465699</v>
      </c>
    </row>
    <row r="116" spans="1:26" x14ac:dyDescent="0.3">
      <c r="A116" s="69" t="s">
        <v>321</v>
      </c>
      <c r="B116" s="11" t="s">
        <v>374</v>
      </c>
      <c r="C116" s="8"/>
      <c r="D116" s="23" t="s">
        <v>375</v>
      </c>
      <c r="E116" s="23" t="s">
        <v>120</v>
      </c>
      <c r="F116" s="8">
        <v>3</v>
      </c>
      <c r="G116" s="11" t="s">
        <v>376</v>
      </c>
      <c r="H116" s="36">
        <v>4.8987499438226223</v>
      </c>
      <c r="I116" s="10">
        <v>5.058750044554472</v>
      </c>
      <c r="J116" s="37">
        <v>4.7962500713765621</v>
      </c>
      <c r="K116" s="36">
        <v>9.3637499958276749</v>
      </c>
      <c r="L116" s="10">
        <v>9.8537499085068703</v>
      </c>
      <c r="M116" s="37">
        <v>8.866250142455101</v>
      </c>
      <c r="N116" s="23" t="s">
        <v>32</v>
      </c>
      <c r="O116" s="8" t="s">
        <v>32</v>
      </c>
      <c r="P116" s="11" t="s">
        <v>32</v>
      </c>
      <c r="Q116" s="49">
        <v>93.80438567493114</v>
      </c>
      <c r="R116" s="10">
        <v>90.518272727272731</v>
      </c>
      <c r="S116" s="42">
        <v>78.533097796143252</v>
      </c>
      <c r="T116" s="69">
        <f t="shared" si="9"/>
        <v>48</v>
      </c>
      <c r="U116" s="23">
        <f t="shared" si="10"/>
        <v>0.4174092720897466</v>
      </c>
      <c r="V116" s="8">
        <f t="shared" si="11"/>
        <v>0.38275729869231107</v>
      </c>
      <c r="W116" s="11">
        <f t="shared" si="12"/>
        <v>0.36906384949641707</v>
      </c>
      <c r="X116" s="23">
        <f t="shared" si="16"/>
        <v>1.032807598325431</v>
      </c>
      <c r="Y116" s="23">
        <f t="shared" si="15"/>
        <v>0.94706723792886749</v>
      </c>
      <c r="Z116" s="23">
        <f t="shared" si="15"/>
        <v>0.91318514828098396</v>
      </c>
    </row>
    <row r="117" spans="1:26" x14ac:dyDescent="0.3">
      <c r="A117" s="69" t="s">
        <v>321</v>
      </c>
      <c r="B117" s="11" t="s">
        <v>377</v>
      </c>
      <c r="C117" s="8"/>
      <c r="D117" s="23" t="s">
        <v>377</v>
      </c>
      <c r="E117" s="23" t="s">
        <v>120</v>
      </c>
      <c r="F117" s="8">
        <v>3</v>
      </c>
      <c r="G117" s="11" t="s">
        <v>378</v>
      </c>
      <c r="H117" s="36">
        <v>4.6462500467896461</v>
      </c>
      <c r="I117" s="10">
        <v>4.8624999821186066</v>
      </c>
      <c r="J117" s="37">
        <v>4.6850001439452171</v>
      </c>
      <c r="K117" s="36">
        <v>7.7912500128149986</v>
      </c>
      <c r="L117" s="10">
        <v>8.906249888241291</v>
      </c>
      <c r="M117" s="37">
        <v>8.8937500491738319</v>
      </c>
      <c r="N117" s="23" t="s">
        <v>32</v>
      </c>
      <c r="O117" s="8" t="s">
        <v>32</v>
      </c>
      <c r="P117" s="11" t="s">
        <v>32</v>
      </c>
      <c r="Q117" s="49">
        <v>86.479304407713514</v>
      </c>
      <c r="R117" s="10">
        <v>79.552818181818182</v>
      </c>
      <c r="S117" s="42">
        <v>85.505597796143249</v>
      </c>
      <c r="T117" s="69">
        <f t="shared" si="9"/>
        <v>48</v>
      </c>
      <c r="U117" s="23">
        <f t="shared" si="10"/>
        <v>0.46248090414178783</v>
      </c>
      <c r="V117" s="8">
        <f t="shared" si="11"/>
        <v>0.37217693183660588</v>
      </c>
      <c r="W117" s="11">
        <f t="shared" si="12"/>
        <v>0.40058841566352793</v>
      </c>
      <c r="X117" s="23">
        <f t="shared" si="16"/>
        <v>1.144329615599325</v>
      </c>
      <c r="Y117" s="23">
        <f t="shared" si="15"/>
        <v>0.92088793619238529</v>
      </c>
      <c r="Z117" s="23">
        <f t="shared" si="15"/>
        <v>0.99118727628427494</v>
      </c>
    </row>
    <row r="118" spans="1:26" x14ac:dyDescent="0.3">
      <c r="A118" s="69" t="s">
        <v>321</v>
      </c>
      <c r="B118" s="11" t="s">
        <v>379</v>
      </c>
      <c r="C118" s="8"/>
      <c r="D118" s="23" t="s">
        <v>380</v>
      </c>
      <c r="E118" s="23" t="s">
        <v>120</v>
      </c>
      <c r="F118" s="8">
        <v>3</v>
      </c>
      <c r="G118" s="11" t="s">
        <v>381</v>
      </c>
      <c r="H118" s="36">
        <v>5.7737501338124275</v>
      </c>
      <c r="I118" s="10">
        <v>5.7612499222159386</v>
      </c>
      <c r="J118" s="37">
        <v>5.618750024586916</v>
      </c>
      <c r="K118" s="36">
        <v>10.154999978840351</v>
      </c>
      <c r="L118" s="10">
        <v>11.316249892115593</v>
      </c>
      <c r="M118" s="37">
        <v>10.313749872148037</v>
      </c>
      <c r="N118" s="23" t="s">
        <v>32</v>
      </c>
      <c r="O118" s="8" t="s">
        <v>32</v>
      </c>
      <c r="P118" s="11" t="s">
        <v>32</v>
      </c>
      <c r="Q118" s="49">
        <v>91.696526170798904</v>
      </c>
      <c r="R118" s="10">
        <v>114.65787878787879</v>
      </c>
      <c r="S118" s="42">
        <v>95.852977961432501</v>
      </c>
      <c r="T118" s="69">
        <f t="shared" si="9"/>
        <v>48</v>
      </c>
      <c r="U118" s="23">
        <f t="shared" si="10"/>
        <v>0.37623718349689822</v>
      </c>
      <c r="V118" s="8">
        <f t="shared" si="11"/>
        <v>0.42217268633226257</v>
      </c>
      <c r="W118" s="11">
        <f t="shared" si="12"/>
        <v>0.38723782632267317</v>
      </c>
      <c r="X118" s="23">
        <f t="shared" si="16"/>
        <v>0.93093433201121545</v>
      </c>
      <c r="Y118" s="23">
        <f t="shared" si="15"/>
        <v>1.0445938492609022</v>
      </c>
      <c r="Z118" s="23">
        <f t="shared" si="15"/>
        <v>0.95815353449812546</v>
      </c>
    </row>
    <row r="119" spans="1:26" x14ac:dyDescent="0.3">
      <c r="A119" s="69" t="s">
        <v>321</v>
      </c>
      <c r="B119" s="11" t="s">
        <v>382</v>
      </c>
      <c r="C119" s="8"/>
      <c r="D119" s="23" t="s">
        <v>382</v>
      </c>
      <c r="E119" s="23" t="s">
        <v>120</v>
      </c>
      <c r="F119" s="8">
        <v>3</v>
      </c>
      <c r="G119" s="11" t="s">
        <v>383</v>
      </c>
      <c r="H119" s="36">
        <v>5.0249999389052391</v>
      </c>
      <c r="I119" s="10">
        <v>5.345000047236681</v>
      </c>
      <c r="J119" s="37">
        <v>5.0124999135732651</v>
      </c>
      <c r="K119" s="36">
        <v>9.5887498930096626</v>
      </c>
      <c r="L119" s="10">
        <v>10.438750125467777</v>
      </c>
      <c r="M119" s="37">
        <v>9.6962498500943184</v>
      </c>
      <c r="N119" s="23" t="s">
        <v>32</v>
      </c>
      <c r="O119" s="8" t="s">
        <v>32</v>
      </c>
      <c r="P119" s="11" t="s">
        <v>32</v>
      </c>
      <c r="Q119" s="49">
        <v>108.95989256198347</v>
      </c>
      <c r="R119" s="10">
        <v>110.20306749311294</v>
      </c>
      <c r="S119" s="42">
        <v>107.78173553719</v>
      </c>
      <c r="T119" s="69">
        <f t="shared" si="9"/>
        <v>48</v>
      </c>
      <c r="U119" s="23">
        <f t="shared" si="10"/>
        <v>0.47347105452460497</v>
      </c>
      <c r="V119" s="8">
        <f t="shared" si="11"/>
        <v>0.43987971966844452</v>
      </c>
      <c r="W119" s="11">
        <f t="shared" si="12"/>
        <v>0.46315902713039442</v>
      </c>
      <c r="X119" s="23">
        <f t="shared" si="16"/>
        <v>1.1715228563370923</v>
      </c>
      <c r="Y119" s="23">
        <f t="shared" si="15"/>
        <v>1.088406863959527</v>
      </c>
      <c r="Z119" s="23">
        <f t="shared" si="15"/>
        <v>1.1460075145394364</v>
      </c>
    </row>
    <row r="120" spans="1:26" x14ac:dyDescent="0.3">
      <c r="A120" s="69" t="s">
        <v>321</v>
      </c>
      <c r="B120" s="11" t="s">
        <v>384</v>
      </c>
      <c r="C120" s="8"/>
      <c r="D120" s="23" t="s">
        <v>385</v>
      </c>
      <c r="E120" s="23" t="s">
        <v>120</v>
      </c>
      <c r="F120" s="8">
        <v>3</v>
      </c>
      <c r="G120" s="11" t="s">
        <v>386</v>
      </c>
      <c r="H120" s="36">
        <v>5.2562500350177288</v>
      </c>
      <c r="I120" s="10">
        <v>5.436249915510416</v>
      </c>
      <c r="J120" s="37">
        <v>5.3137499839067459</v>
      </c>
      <c r="K120" s="36">
        <v>10.027499869465828</v>
      </c>
      <c r="L120" s="10">
        <v>10.677500069141388</v>
      </c>
      <c r="M120" s="37">
        <v>9.687500074505806</v>
      </c>
      <c r="N120" s="23" t="s">
        <v>32</v>
      </c>
      <c r="O120" s="8" t="s">
        <v>32</v>
      </c>
      <c r="P120" s="11" t="s">
        <v>32</v>
      </c>
      <c r="Q120" s="49">
        <v>137.09463774104682</v>
      </c>
      <c r="R120" s="10">
        <v>138.99038016528928</v>
      </c>
      <c r="S120" s="42">
        <v>127.37887603305801</v>
      </c>
      <c r="T120" s="69">
        <f t="shared" si="9"/>
        <v>48</v>
      </c>
      <c r="U120" s="23">
        <f t="shared" si="10"/>
        <v>0.5696610966745308</v>
      </c>
      <c r="V120" s="8">
        <f t="shared" si="11"/>
        <v>0.54238031399854447</v>
      </c>
      <c r="W120" s="11">
        <f t="shared" si="12"/>
        <v>0.54786612926192269</v>
      </c>
      <c r="X120" s="23">
        <f t="shared" si="16"/>
        <v>1.4095286052710225</v>
      </c>
      <c r="Y120" s="23">
        <f t="shared" si="15"/>
        <v>1.3420269910999665</v>
      </c>
      <c r="Z120" s="23">
        <f t="shared" si="15"/>
        <v>1.3556006993663428</v>
      </c>
    </row>
    <row r="121" spans="1:26" x14ac:dyDescent="0.3">
      <c r="A121" s="69" t="s">
        <v>321</v>
      </c>
      <c r="B121" s="11" t="s">
        <v>387</v>
      </c>
      <c r="C121" s="8"/>
      <c r="D121" s="23" t="s">
        <v>387</v>
      </c>
      <c r="E121" s="23" t="s">
        <v>120</v>
      </c>
      <c r="F121" s="8">
        <v>3</v>
      </c>
      <c r="G121" s="11" t="s">
        <v>388</v>
      </c>
      <c r="H121" s="36">
        <v>6.021250132471323</v>
      </c>
      <c r="I121" s="10">
        <v>5.7387499138712883</v>
      </c>
      <c r="J121" s="37">
        <v>5.788749922066927</v>
      </c>
      <c r="K121" s="36">
        <v>10.492500104010105</v>
      </c>
      <c r="L121" s="10">
        <v>9.9799999035894871</v>
      </c>
      <c r="M121" s="37">
        <v>9.2012500092387093</v>
      </c>
      <c r="N121" s="23" t="s">
        <v>32</v>
      </c>
      <c r="O121" s="8" t="s">
        <v>32</v>
      </c>
      <c r="P121" s="11" t="s">
        <v>32</v>
      </c>
      <c r="Q121" s="49">
        <v>99.858322314049587</v>
      </c>
      <c r="R121" s="10">
        <v>94.657493112947662</v>
      </c>
      <c r="S121" s="42">
        <v>89.457772727272726</v>
      </c>
      <c r="T121" s="69">
        <f t="shared" si="9"/>
        <v>48</v>
      </c>
      <c r="U121" s="23">
        <f t="shared" si="10"/>
        <v>0.39654642730590711</v>
      </c>
      <c r="V121" s="8">
        <f t="shared" si="11"/>
        <v>0.39519661835076098</v>
      </c>
      <c r="W121" s="11">
        <f t="shared" si="12"/>
        <v>0.4050979153079326</v>
      </c>
      <c r="X121" s="23">
        <f t="shared" si="16"/>
        <v>0.98118606987313384</v>
      </c>
      <c r="Y121" s="23">
        <f t="shared" si="16"/>
        <v>0.97784619929914496</v>
      </c>
      <c r="Z121" s="23">
        <f t="shared" si="16"/>
        <v>1.0023452591294322</v>
      </c>
    </row>
    <row r="122" spans="1:26" x14ac:dyDescent="0.3">
      <c r="A122" s="69" t="s">
        <v>321</v>
      </c>
      <c r="B122" s="11" t="s">
        <v>389</v>
      </c>
      <c r="C122" s="8"/>
      <c r="D122" s="23" t="s">
        <v>390</v>
      </c>
      <c r="E122" s="23" t="s">
        <v>120</v>
      </c>
      <c r="F122" s="8">
        <v>3</v>
      </c>
      <c r="G122" s="11" t="s">
        <v>391</v>
      </c>
      <c r="H122" s="36">
        <v>5.058750044554472</v>
      </c>
      <c r="I122" s="10">
        <v>5.2137500606477261</v>
      </c>
      <c r="J122" s="37">
        <v>4.8950000666081905</v>
      </c>
      <c r="K122" s="36">
        <v>10.331249982118607</v>
      </c>
      <c r="L122" s="10">
        <v>9.6162501722574234</v>
      </c>
      <c r="M122" s="37">
        <v>9.4237500801682472</v>
      </c>
      <c r="N122" s="23" t="s">
        <v>32</v>
      </c>
      <c r="O122" s="8" t="s">
        <v>32</v>
      </c>
      <c r="P122" s="11" t="s">
        <v>32</v>
      </c>
      <c r="Q122" s="49">
        <v>106.139665289256</v>
      </c>
      <c r="R122" s="10">
        <v>94.8010633608815</v>
      </c>
      <c r="S122" s="42">
        <v>96.597365013774095</v>
      </c>
      <c r="T122" s="69">
        <f t="shared" si="9"/>
        <v>48</v>
      </c>
      <c r="U122" s="23">
        <f t="shared" si="10"/>
        <v>0.42806882626724424</v>
      </c>
      <c r="V122" s="8">
        <f t="shared" si="11"/>
        <v>0.41076763145151407</v>
      </c>
      <c r="W122" s="11">
        <f t="shared" si="12"/>
        <v>0.42710069501709408</v>
      </c>
      <c r="X122" s="23">
        <f t="shared" si="16"/>
        <v>1.0591828354977237</v>
      </c>
      <c r="Y122" s="23">
        <f t="shared" si="16"/>
        <v>1.0163739985585369</v>
      </c>
      <c r="Z122" s="23">
        <f t="shared" si="16"/>
        <v>1.0567873608923672</v>
      </c>
    </row>
    <row r="123" spans="1:26" x14ac:dyDescent="0.3">
      <c r="A123" s="69" t="s">
        <v>321</v>
      </c>
      <c r="B123" s="11" t="s">
        <v>392</v>
      </c>
      <c r="C123" s="8"/>
      <c r="D123" s="23" t="s">
        <v>392</v>
      </c>
      <c r="E123" s="23" t="s">
        <v>120</v>
      </c>
      <c r="F123" s="8">
        <v>3</v>
      </c>
      <c r="G123" s="11" t="s">
        <v>393</v>
      </c>
      <c r="H123" s="36">
        <v>5.3237499669194221</v>
      </c>
      <c r="I123" s="10">
        <v>6.1612499877810478</v>
      </c>
      <c r="J123" s="37">
        <v>5.4962499998509884</v>
      </c>
      <c r="K123" s="36">
        <v>9.7999999299645424</v>
      </c>
      <c r="L123" s="10">
        <v>10.093750059604645</v>
      </c>
      <c r="M123" s="37">
        <v>10.136250033974648</v>
      </c>
      <c r="N123" s="23" t="s">
        <v>32</v>
      </c>
      <c r="O123" s="8" t="s">
        <v>32</v>
      </c>
      <c r="P123" s="11" t="s">
        <v>32</v>
      </c>
      <c r="Q123" s="49">
        <v>107.31996005509643</v>
      </c>
      <c r="R123" s="10">
        <v>98.038822314049597</v>
      </c>
      <c r="S123" s="42">
        <v>92.464797520661193</v>
      </c>
      <c r="T123" s="69">
        <f t="shared" si="9"/>
        <v>48</v>
      </c>
      <c r="U123" s="23">
        <f t="shared" si="10"/>
        <v>0.45629235043391109</v>
      </c>
      <c r="V123" s="8">
        <f t="shared" si="11"/>
        <v>0.4047010185144278</v>
      </c>
      <c r="W123" s="11">
        <f t="shared" si="12"/>
        <v>0.38009124516273279</v>
      </c>
      <c r="X123" s="23">
        <f t="shared" si="16"/>
        <v>1.1290171016723083</v>
      </c>
      <c r="Y123" s="23">
        <f t="shared" si="16"/>
        <v>1.0013632061385378</v>
      </c>
      <c r="Z123" s="23">
        <f t="shared" si="16"/>
        <v>0.94047054607986913</v>
      </c>
    </row>
    <row r="124" spans="1:26" x14ac:dyDescent="0.3">
      <c r="A124" s="69" t="s">
        <v>321</v>
      </c>
      <c r="B124" s="11" t="s">
        <v>394</v>
      </c>
      <c r="C124" s="8"/>
      <c r="D124" s="23" t="s">
        <v>395</v>
      </c>
      <c r="E124" s="23" t="s">
        <v>120</v>
      </c>
      <c r="F124" s="8">
        <v>3</v>
      </c>
      <c r="G124" s="11" t="s">
        <v>396</v>
      </c>
      <c r="H124" s="36">
        <v>5.5962500162422657</v>
      </c>
      <c r="I124" s="10">
        <v>5.8862499892711639</v>
      </c>
      <c r="J124" s="37">
        <v>5.2637499757111073</v>
      </c>
      <c r="K124" s="36">
        <v>10.317500121891499</v>
      </c>
      <c r="L124" s="10">
        <v>12.061250023543835</v>
      </c>
      <c r="M124" s="37">
        <v>10.25374997407198</v>
      </c>
      <c r="N124" s="23" t="s">
        <v>32</v>
      </c>
      <c r="O124" s="8" t="s">
        <v>32</v>
      </c>
      <c r="P124" s="11" t="s">
        <v>32</v>
      </c>
      <c r="Q124" s="49">
        <v>119.70578374655646</v>
      </c>
      <c r="R124" s="10">
        <v>124.27204407713501</v>
      </c>
      <c r="S124" s="42">
        <v>109.7457038567493</v>
      </c>
      <c r="T124" s="69">
        <f t="shared" si="9"/>
        <v>48</v>
      </c>
      <c r="U124" s="23">
        <f t="shared" si="10"/>
        <v>0.48342533855240255</v>
      </c>
      <c r="V124" s="8">
        <f t="shared" si="11"/>
        <v>0.42930888808703199</v>
      </c>
      <c r="W124" s="11">
        <f t="shared" si="12"/>
        <v>0.44595759329617796</v>
      </c>
      <c r="X124" s="23">
        <f t="shared" si="16"/>
        <v>1.1961530235787734</v>
      </c>
      <c r="Y124" s="23">
        <f t="shared" si="16"/>
        <v>1.0622511556226171</v>
      </c>
      <c r="Z124" s="23">
        <f t="shared" si="16"/>
        <v>1.1034455190257115</v>
      </c>
    </row>
    <row r="125" spans="1:26" x14ac:dyDescent="0.3">
      <c r="A125" s="69" t="s">
        <v>321</v>
      </c>
      <c r="B125" s="11" t="s">
        <v>397</v>
      </c>
      <c r="C125" s="8"/>
      <c r="D125" s="23" t="s">
        <v>397</v>
      </c>
      <c r="E125" s="23" t="s">
        <v>120</v>
      </c>
      <c r="F125" s="8">
        <v>3</v>
      </c>
      <c r="G125" s="11" t="s">
        <v>398</v>
      </c>
      <c r="H125" s="36">
        <v>5.1287500187754631</v>
      </c>
      <c r="I125" s="10">
        <v>5.3862500004470348</v>
      </c>
      <c r="J125" s="37">
        <v>5.3524999879300594</v>
      </c>
      <c r="K125" s="36">
        <v>10.6162499859929</v>
      </c>
      <c r="L125" s="10">
        <v>11.277499981224537</v>
      </c>
      <c r="M125" s="37">
        <v>11.8537500947713</v>
      </c>
      <c r="N125" s="23" t="s">
        <v>32</v>
      </c>
      <c r="O125" s="8" t="s">
        <v>32</v>
      </c>
      <c r="P125" s="11" t="s">
        <v>32</v>
      </c>
      <c r="Q125" s="49">
        <v>108.04555509641899</v>
      </c>
      <c r="R125" s="10">
        <v>116.400267217631</v>
      </c>
      <c r="S125" s="42">
        <v>119.36984297520701</v>
      </c>
      <c r="T125" s="69">
        <f t="shared" si="9"/>
        <v>48</v>
      </c>
      <c r="U125" s="23">
        <f t="shared" si="10"/>
        <v>0.42405728340584209</v>
      </c>
      <c r="V125" s="8">
        <f t="shared" si="11"/>
        <v>0.43006084168854358</v>
      </c>
      <c r="W125" s="11">
        <f t="shared" si="12"/>
        <v>0.41959240050911945</v>
      </c>
      <c r="X125" s="23">
        <f t="shared" si="16"/>
        <v>1.0492569612412135</v>
      </c>
      <c r="Y125" s="23">
        <f t="shared" si="16"/>
        <v>1.0641117357418397</v>
      </c>
      <c r="Z125" s="23">
        <f t="shared" si="16"/>
        <v>1.0382093748800343</v>
      </c>
    </row>
    <row r="126" spans="1:26" x14ac:dyDescent="0.3">
      <c r="A126" s="69" t="s">
        <v>321</v>
      </c>
      <c r="B126" s="11" t="s">
        <v>399</v>
      </c>
      <c r="C126" s="8"/>
      <c r="D126" s="23" t="s">
        <v>399</v>
      </c>
      <c r="E126" s="23" t="s">
        <v>120</v>
      </c>
      <c r="F126" s="8">
        <v>3</v>
      </c>
      <c r="G126" s="11" t="s">
        <v>400</v>
      </c>
      <c r="H126" s="36">
        <v>4.1025000624358654</v>
      </c>
      <c r="I126" s="10">
        <v>4.1350000537931919</v>
      </c>
      <c r="J126" s="37">
        <v>4.1074999608099461</v>
      </c>
      <c r="K126" s="36">
        <v>10.0112500116229</v>
      </c>
      <c r="L126" s="10">
        <v>11.440000005066301</v>
      </c>
      <c r="M126" s="37">
        <v>10.077500015497201</v>
      </c>
      <c r="N126" s="23" t="s">
        <v>32</v>
      </c>
      <c r="O126" s="8" t="s">
        <v>32</v>
      </c>
      <c r="P126" s="11" t="s">
        <v>32</v>
      </c>
      <c r="Q126" s="49">
        <v>104.84135123966942</v>
      </c>
      <c r="R126" s="10">
        <v>104.79600275482095</v>
      </c>
      <c r="S126" s="42">
        <v>105.937709366391</v>
      </c>
      <c r="T126" s="69">
        <f t="shared" ref="T126:T189" si="17">IF(N126="NA",48,72)</f>
        <v>48</v>
      </c>
      <c r="U126" s="23">
        <f t="shared" ref="U126:U189" si="18">Q126/K126/(T126-24)</f>
        <v>0.43634807141112208</v>
      </c>
      <c r="V126" s="8">
        <f t="shared" ref="V126:V189" si="19">R126/L126/(T126-24)</f>
        <v>0.38168707280161401</v>
      </c>
      <c r="W126" s="11">
        <f t="shared" ref="W126:W189" si="20">S126/M126/(T126-24)</f>
        <v>0.43801252461539636</v>
      </c>
      <c r="X126" s="23">
        <f t="shared" si="16"/>
        <v>1.0796684065301694</v>
      </c>
      <c r="Y126" s="23">
        <f t="shared" si="16"/>
        <v>0.94441914765932777</v>
      </c>
      <c r="Z126" s="23">
        <f t="shared" si="16"/>
        <v>1.083786810292082</v>
      </c>
    </row>
    <row r="127" spans="1:26" x14ac:dyDescent="0.3">
      <c r="A127" s="69" t="s">
        <v>321</v>
      </c>
      <c r="B127" s="11" t="s">
        <v>401</v>
      </c>
      <c r="C127" s="8"/>
      <c r="D127" s="23" t="s">
        <v>401</v>
      </c>
      <c r="E127" s="23" t="s">
        <v>120</v>
      </c>
      <c r="F127" s="8">
        <v>3</v>
      </c>
      <c r="G127" s="11" t="s">
        <v>402</v>
      </c>
      <c r="H127" s="36">
        <v>6.1787500977516174</v>
      </c>
      <c r="I127" s="10">
        <v>6.210000067949295</v>
      </c>
      <c r="J127" s="37">
        <v>6.4075000584125519</v>
      </c>
      <c r="K127" s="36">
        <v>11.303749866783619</v>
      </c>
      <c r="L127" s="10">
        <v>12.223749607801437</v>
      </c>
      <c r="M127" s="37">
        <v>11.58749982714653</v>
      </c>
      <c r="N127" s="23" t="s">
        <v>32</v>
      </c>
      <c r="O127" s="8" t="s">
        <v>32</v>
      </c>
      <c r="P127" s="11" t="s">
        <v>32</v>
      </c>
      <c r="Q127" s="49">
        <v>122.67232093663911</v>
      </c>
      <c r="R127" s="10">
        <v>105.88167630853994</v>
      </c>
      <c r="S127" s="42">
        <v>115.71023002754799</v>
      </c>
      <c r="T127" s="69">
        <f t="shared" si="17"/>
        <v>48</v>
      </c>
      <c r="U127" s="23">
        <f t="shared" si="18"/>
        <v>0.45218151197003481</v>
      </c>
      <c r="V127" s="8">
        <f t="shared" si="19"/>
        <v>0.36091515732948043</v>
      </c>
      <c r="W127" s="11">
        <f t="shared" si="20"/>
        <v>0.4160741882546739</v>
      </c>
      <c r="X127" s="23">
        <f t="shared" si="16"/>
        <v>1.1188455374908903</v>
      </c>
      <c r="Y127" s="23">
        <f t="shared" si="16"/>
        <v>0.8930226081814493</v>
      </c>
      <c r="Z127" s="23">
        <f t="shared" si="16"/>
        <v>1.0295041625335972</v>
      </c>
    </row>
    <row r="128" spans="1:26" x14ac:dyDescent="0.3">
      <c r="A128" s="69" t="s">
        <v>321</v>
      </c>
      <c r="B128" s="11" t="s">
        <v>403</v>
      </c>
      <c r="C128" s="8"/>
      <c r="D128" s="23" t="s">
        <v>403</v>
      </c>
      <c r="E128" s="23" t="s">
        <v>120</v>
      </c>
      <c r="F128" s="8">
        <v>3</v>
      </c>
      <c r="G128" s="11" t="s">
        <v>404</v>
      </c>
      <c r="H128" s="36">
        <v>3.6337500438094139</v>
      </c>
      <c r="I128" s="10">
        <v>3.645000047981739</v>
      </c>
      <c r="J128" s="37">
        <v>3.7437500432133675</v>
      </c>
      <c r="K128" s="36">
        <v>6.9849999621510506</v>
      </c>
      <c r="L128" s="10">
        <v>7.0912500843405724</v>
      </c>
      <c r="M128" s="37">
        <v>7.3662500828504562</v>
      </c>
      <c r="N128" s="23" t="s">
        <v>32</v>
      </c>
      <c r="O128" s="8" t="s">
        <v>32</v>
      </c>
      <c r="P128" s="11" t="s">
        <v>32</v>
      </c>
      <c r="Q128" s="49">
        <v>83.902703856749312</v>
      </c>
      <c r="R128" s="10">
        <v>82.055388429752071</v>
      </c>
      <c r="S128" s="42">
        <v>85.236922865013781</v>
      </c>
      <c r="T128" s="69">
        <f t="shared" si="17"/>
        <v>48</v>
      </c>
      <c r="U128" s="23">
        <f t="shared" si="18"/>
        <v>0.50049334473505636</v>
      </c>
      <c r="V128" s="8">
        <f t="shared" si="19"/>
        <v>0.48213988750112918</v>
      </c>
      <c r="W128" s="11">
        <f t="shared" si="20"/>
        <v>0.48213655696774804</v>
      </c>
      <c r="X128" s="23">
        <f t="shared" si="16"/>
        <v>1.2383848752706546</v>
      </c>
      <c r="Y128" s="23">
        <f t="shared" si="16"/>
        <v>1.1929723955913214</v>
      </c>
      <c r="Z128" s="23">
        <f t="shared" si="16"/>
        <v>1.1929641547581331</v>
      </c>
    </row>
    <row r="129" spans="1:26" x14ac:dyDescent="0.3">
      <c r="A129" s="69" t="s">
        <v>321</v>
      </c>
      <c r="B129" s="11" t="s">
        <v>405</v>
      </c>
      <c r="C129" s="8"/>
      <c r="D129" s="23" t="s">
        <v>405</v>
      </c>
      <c r="E129" s="23" t="s">
        <v>120</v>
      </c>
      <c r="F129" s="8">
        <v>3</v>
      </c>
      <c r="G129" s="11" t="s">
        <v>406</v>
      </c>
      <c r="H129" s="36">
        <v>4.8624999821186066</v>
      </c>
      <c r="I129" s="10">
        <v>4.9487500451505184</v>
      </c>
      <c r="J129" s="37">
        <v>4.2949999682605267</v>
      </c>
      <c r="K129" s="36">
        <v>9.3137500807642937</v>
      </c>
      <c r="L129" s="10">
        <v>9.3025000765919685</v>
      </c>
      <c r="M129" s="37">
        <v>9.493749774992466</v>
      </c>
      <c r="N129" s="23" t="s">
        <v>32</v>
      </c>
      <c r="O129" s="8" t="s">
        <v>32</v>
      </c>
      <c r="P129" s="11" t="s">
        <v>32</v>
      </c>
      <c r="Q129" s="49">
        <v>92.082736914600559</v>
      </c>
      <c r="R129" s="10">
        <v>99.901414600551007</v>
      </c>
      <c r="S129" s="42">
        <v>91.972331955922854</v>
      </c>
      <c r="T129" s="69">
        <f t="shared" si="17"/>
        <v>48</v>
      </c>
      <c r="U129" s="23">
        <f t="shared" si="18"/>
        <v>0.41194799855099551</v>
      </c>
      <c r="V129" s="8">
        <f t="shared" si="19"/>
        <v>0.44746669254687133</v>
      </c>
      <c r="W129" s="11">
        <f t="shared" si="20"/>
        <v>0.40365299159851653</v>
      </c>
      <c r="X129" s="23">
        <f t="shared" si="16"/>
        <v>1.0192946143442247</v>
      </c>
      <c r="Y129" s="23">
        <f t="shared" si="16"/>
        <v>1.1071795260949369</v>
      </c>
      <c r="Z129" s="23">
        <f t="shared" si="16"/>
        <v>0.99877004342180264</v>
      </c>
    </row>
    <row r="130" spans="1:26" x14ac:dyDescent="0.3">
      <c r="A130" s="69" t="s">
        <v>321</v>
      </c>
      <c r="B130" s="11" t="s">
        <v>407</v>
      </c>
      <c r="C130" s="8"/>
      <c r="D130" s="23" t="s">
        <v>408</v>
      </c>
      <c r="E130" s="23" t="s">
        <v>120</v>
      </c>
      <c r="F130" s="8">
        <v>3</v>
      </c>
      <c r="G130" s="11" t="s">
        <v>409</v>
      </c>
      <c r="H130" s="36">
        <v>4.6362500637769699</v>
      </c>
      <c r="I130" s="10">
        <v>4.7225000336766243</v>
      </c>
      <c r="J130" s="37">
        <v>4.6387499198317528</v>
      </c>
      <c r="K130" s="36">
        <v>8.9437499642372131</v>
      </c>
      <c r="L130" s="10">
        <v>9.0412499383091927</v>
      </c>
      <c r="M130" s="37">
        <v>8.7950000539422035</v>
      </c>
      <c r="N130" s="23" t="s">
        <v>32</v>
      </c>
      <c r="O130" s="8" t="s">
        <v>32</v>
      </c>
      <c r="P130" s="11" t="s">
        <v>32</v>
      </c>
      <c r="Q130" s="49">
        <v>107.01528650137742</v>
      </c>
      <c r="R130" s="10">
        <v>103.73810330578513</v>
      </c>
      <c r="S130" s="42">
        <v>107.94154132231405</v>
      </c>
      <c r="T130" s="69">
        <f t="shared" si="17"/>
        <v>48</v>
      </c>
      <c r="U130" s="23">
        <f t="shared" si="18"/>
        <v>0.49855712522381751</v>
      </c>
      <c r="V130" s="8">
        <f t="shared" si="19"/>
        <v>0.47807781010008421</v>
      </c>
      <c r="W130" s="11">
        <f t="shared" si="20"/>
        <v>0.51137739558593087</v>
      </c>
      <c r="X130" s="23">
        <f t="shared" si="16"/>
        <v>1.2335940324289951</v>
      </c>
      <c r="Y130" s="23">
        <f t="shared" si="16"/>
        <v>1.1829214822903749</v>
      </c>
      <c r="Z130" s="23">
        <f t="shared" si="16"/>
        <v>1.2653155909278924</v>
      </c>
    </row>
    <row r="131" spans="1:26" x14ac:dyDescent="0.3">
      <c r="A131" s="69" t="s">
        <v>321</v>
      </c>
      <c r="B131" s="11" t="s">
        <v>410</v>
      </c>
      <c r="C131" s="8"/>
      <c r="D131" s="23" t="s">
        <v>411</v>
      </c>
      <c r="E131" s="23" t="s">
        <v>120</v>
      </c>
      <c r="F131" s="8">
        <v>3</v>
      </c>
      <c r="G131" s="11" t="s">
        <v>412</v>
      </c>
      <c r="H131" s="36">
        <v>5.097499955445528</v>
      </c>
      <c r="I131" s="10">
        <v>5.0174999050796032</v>
      </c>
      <c r="J131" s="37">
        <v>5.2624999545514584</v>
      </c>
      <c r="K131" s="36">
        <v>10.154999978840351</v>
      </c>
      <c r="L131" s="10">
        <v>9.9899997934699059</v>
      </c>
      <c r="M131" s="37">
        <v>10.377500019967556</v>
      </c>
      <c r="N131" s="23" t="s">
        <v>32</v>
      </c>
      <c r="O131" s="8" t="s">
        <v>32</v>
      </c>
      <c r="P131" s="11" t="s">
        <v>32</v>
      </c>
      <c r="Q131" s="49">
        <v>121.67272314049589</v>
      </c>
      <c r="R131" s="10">
        <v>114.15894077134986</v>
      </c>
      <c r="S131" s="42">
        <v>122.62002479338844</v>
      </c>
      <c r="T131" s="69">
        <f t="shared" si="17"/>
        <v>48</v>
      </c>
      <c r="U131" s="23">
        <f t="shared" si="18"/>
        <v>0.4992315911456649</v>
      </c>
      <c r="V131" s="8">
        <f t="shared" si="19"/>
        <v>0.47613840144909775</v>
      </c>
      <c r="W131" s="11">
        <f t="shared" si="20"/>
        <v>0.49233126378163011</v>
      </c>
      <c r="X131" s="23">
        <f t="shared" si="16"/>
        <v>1.2352628825851215</v>
      </c>
      <c r="Y131" s="23">
        <f t="shared" si="16"/>
        <v>1.178122748469804</v>
      </c>
      <c r="Z131" s="23">
        <f t="shared" si="16"/>
        <v>1.2181892069170455</v>
      </c>
    </row>
    <row r="132" spans="1:26" x14ac:dyDescent="0.3">
      <c r="A132" s="69" t="s">
        <v>321</v>
      </c>
      <c r="B132" s="11" t="s">
        <v>413</v>
      </c>
      <c r="C132" s="8"/>
      <c r="D132" s="23" t="s">
        <v>414</v>
      </c>
      <c r="E132" s="23" t="s">
        <v>120</v>
      </c>
      <c r="F132" s="8">
        <v>3</v>
      </c>
      <c r="G132" s="11" t="s">
        <v>415</v>
      </c>
      <c r="H132" s="36">
        <v>4.1887500323355198</v>
      </c>
      <c r="I132" s="10">
        <v>4.0787501260638237</v>
      </c>
      <c r="J132" s="37">
        <v>4.0424998849630356</v>
      </c>
      <c r="K132" s="36">
        <v>8.0887500196695328</v>
      </c>
      <c r="L132" s="10">
        <v>7.928750105202198</v>
      </c>
      <c r="M132" s="37">
        <v>7.8587500378489494</v>
      </c>
      <c r="N132" s="23" t="s">
        <v>32</v>
      </c>
      <c r="O132" s="8" t="s">
        <v>32</v>
      </c>
      <c r="P132" s="11" t="s">
        <v>32</v>
      </c>
      <c r="Q132" s="49">
        <v>98.634658402203854</v>
      </c>
      <c r="R132" s="10">
        <v>96.905318181818203</v>
      </c>
      <c r="S132" s="42">
        <v>101.55269283746557</v>
      </c>
      <c r="T132" s="69">
        <f t="shared" si="17"/>
        <v>48</v>
      </c>
      <c r="U132" s="23">
        <f t="shared" si="18"/>
        <v>0.50808560326766861</v>
      </c>
      <c r="V132" s="8">
        <f t="shared" si="19"/>
        <v>0.50925070626956304</v>
      </c>
      <c r="W132" s="11">
        <f t="shared" si="20"/>
        <v>0.53842687210843632</v>
      </c>
      <c r="X132" s="23">
        <f t="shared" si="16"/>
        <v>1.2571706158500997</v>
      </c>
      <c r="Y132" s="23">
        <f t="shared" si="16"/>
        <v>1.260053463246287</v>
      </c>
      <c r="Z132" s="23">
        <f t="shared" si="16"/>
        <v>1.332244877724287</v>
      </c>
    </row>
    <row r="133" spans="1:26" x14ac:dyDescent="0.3">
      <c r="A133" s="69" t="s">
        <v>321</v>
      </c>
      <c r="B133" s="11" t="s">
        <v>416</v>
      </c>
      <c r="C133" s="8"/>
      <c r="D133" s="23" t="s">
        <v>416</v>
      </c>
      <c r="E133" s="23" t="s">
        <v>120</v>
      </c>
      <c r="F133" s="8">
        <v>3</v>
      </c>
      <c r="G133" s="11" t="s">
        <v>417</v>
      </c>
      <c r="H133" s="36">
        <v>4.8674999736249447</v>
      </c>
      <c r="I133" s="10">
        <v>4.6424999833106995</v>
      </c>
      <c r="J133" s="37">
        <v>4.6074999496340752</v>
      </c>
      <c r="K133" s="36">
        <v>9.2487499117851257</v>
      </c>
      <c r="L133" s="10">
        <v>9.1999999880790693</v>
      </c>
      <c r="M133" s="37">
        <v>8.647499792277813</v>
      </c>
      <c r="N133" s="23" t="s">
        <v>32</v>
      </c>
      <c r="O133" s="8" t="s">
        <v>32</v>
      </c>
      <c r="P133" s="11" t="s">
        <v>32</v>
      </c>
      <c r="Q133" s="49">
        <v>93.977705234159785</v>
      </c>
      <c r="R133" s="10">
        <v>97.317166666666679</v>
      </c>
      <c r="S133" s="42">
        <v>94.436680440771397</v>
      </c>
      <c r="T133" s="69">
        <f t="shared" si="17"/>
        <v>48</v>
      </c>
      <c r="U133" s="23">
        <f t="shared" si="18"/>
        <v>0.42338021413038773</v>
      </c>
      <c r="V133" s="8">
        <f t="shared" si="19"/>
        <v>0.44074803801071433</v>
      </c>
      <c r="W133" s="11">
        <f t="shared" si="20"/>
        <v>0.45502882677672446</v>
      </c>
      <c r="X133" s="23">
        <f t="shared" si="16"/>
        <v>1.0475816695334348</v>
      </c>
      <c r="Y133" s="23">
        <f t="shared" si="16"/>
        <v>1.0905553686565401</v>
      </c>
      <c r="Z133" s="23">
        <f t="shared" si="16"/>
        <v>1.1258907292578362</v>
      </c>
    </row>
    <row r="134" spans="1:26" x14ac:dyDescent="0.3">
      <c r="A134" s="69" t="s">
        <v>321</v>
      </c>
      <c r="B134" s="11" t="s">
        <v>418</v>
      </c>
      <c r="C134" s="8"/>
      <c r="D134" s="23" t="s">
        <v>418</v>
      </c>
      <c r="E134" s="23" t="s">
        <v>120</v>
      </c>
      <c r="F134" s="8">
        <v>3</v>
      </c>
      <c r="G134" s="11" t="s">
        <v>419</v>
      </c>
      <c r="H134" s="36">
        <v>4.407500009983778</v>
      </c>
      <c r="I134" s="10">
        <v>4.3050000444054604</v>
      </c>
      <c r="J134" s="37">
        <v>4.7299999743700027</v>
      </c>
      <c r="K134" s="36">
        <v>8.7737500667572021</v>
      </c>
      <c r="L134" s="10">
        <v>8.0212501809000969</v>
      </c>
      <c r="M134" s="37">
        <v>8.4950000047683716</v>
      </c>
      <c r="N134" s="23" t="s">
        <v>32</v>
      </c>
      <c r="O134" s="8" t="s">
        <v>32</v>
      </c>
      <c r="P134" s="11" t="s">
        <v>32</v>
      </c>
      <c r="Q134" s="49">
        <v>91.58791873278237</v>
      </c>
      <c r="R134" s="10">
        <v>88.524801652892563</v>
      </c>
      <c r="S134" s="42">
        <v>98.890141873278225</v>
      </c>
      <c r="T134" s="69">
        <f t="shared" si="17"/>
        <v>48</v>
      </c>
      <c r="U134" s="23">
        <f t="shared" si="18"/>
        <v>0.43495235805629245</v>
      </c>
      <c r="V134" s="8">
        <f t="shared" si="19"/>
        <v>0.45984520106190624</v>
      </c>
      <c r="W134" s="11">
        <f t="shared" si="20"/>
        <v>0.48504091533141896</v>
      </c>
      <c r="X134" s="23">
        <f t="shared" si="16"/>
        <v>1.0762149533983416</v>
      </c>
      <c r="Y134" s="23">
        <f t="shared" si="16"/>
        <v>1.1378080207286529</v>
      </c>
      <c r="Z134" s="23">
        <f t="shared" si="16"/>
        <v>1.200150491015691</v>
      </c>
    </row>
    <row r="135" spans="1:26" x14ac:dyDescent="0.3">
      <c r="A135" s="69" t="s">
        <v>321</v>
      </c>
      <c r="B135" s="11" t="s">
        <v>420</v>
      </c>
      <c r="C135" s="8"/>
      <c r="D135" s="23" t="s">
        <v>421</v>
      </c>
      <c r="E135" s="23" t="s">
        <v>120</v>
      </c>
      <c r="F135" s="8">
        <v>3</v>
      </c>
      <c r="G135" s="11" t="s">
        <v>422</v>
      </c>
      <c r="H135" s="36">
        <v>6.1012499965727329</v>
      </c>
      <c r="I135" s="10">
        <v>6.1312500387430191</v>
      </c>
      <c r="J135" s="37">
        <v>5.2799999713897705</v>
      </c>
      <c r="K135" s="36">
        <v>10.517500154674053</v>
      </c>
      <c r="L135" s="10">
        <v>12.103750370442867</v>
      </c>
      <c r="M135" s="37">
        <v>9.9925000220537186</v>
      </c>
      <c r="N135" s="23" t="s">
        <v>32</v>
      </c>
      <c r="O135" s="8" t="s">
        <v>32</v>
      </c>
      <c r="P135" s="11" t="s">
        <v>32</v>
      </c>
      <c r="Q135" s="49">
        <v>100.74011983471074</v>
      </c>
      <c r="R135" s="10">
        <v>81.915801652892554</v>
      </c>
      <c r="S135" s="42">
        <v>96.180195592286509</v>
      </c>
      <c r="T135" s="69">
        <f t="shared" si="17"/>
        <v>48</v>
      </c>
      <c r="U135" s="23">
        <f t="shared" si="18"/>
        <v>0.39909721239676382</v>
      </c>
      <c r="V135" s="8">
        <f t="shared" si="19"/>
        <v>0.28199180400636198</v>
      </c>
      <c r="W135" s="11">
        <f t="shared" si="20"/>
        <v>0.40105160278548163</v>
      </c>
      <c r="X135" s="23">
        <f t="shared" si="16"/>
        <v>0.9874975497555587</v>
      </c>
      <c r="Y135" s="23">
        <f t="shared" si="16"/>
        <v>0.69774031703983452</v>
      </c>
      <c r="Z135" s="23">
        <f t="shared" si="16"/>
        <v>0.99233335331463235</v>
      </c>
    </row>
    <row r="136" spans="1:26" x14ac:dyDescent="0.3">
      <c r="A136" s="69" t="s">
        <v>321</v>
      </c>
      <c r="B136" s="11" t="s">
        <v>423</v>
      </c>
      <c r="C136" s="8"/>
      <c r="D136" s="23" t="s">
        <v>423</v>
      </c>
      <c r="E136" s="23" t="s">
        <v>120</v>
      </c>
      <c r="F136" s="8">
        <v>3</v>
      </c>
      <c r="G136" s="11" t="s">
        <v>424</v>
      </c>
      <c r="H136" s="36">
        <v>5.3524999879300594</v>
      </c>
      <c r="I136" s="10">
        <v>5.0612499937415123</v>
      </c>
      <c r="J136" s="37">
        <v>4.9524999223649502</v>
      </c>
      <c r="K136" s="36">
        <v>9.6275001764297485</v>
      </c>
      <c r="L136" s="10">
        <v>9.4425000250339508</v>
      </c>
      <c r="M136" s="37">
        <v>9.4499999657273293</v>
      </c>
      <c r="N136" s="23" t="s">
        <v>32</v>
      </c>
      <c r="O136" s="8" t="s">
        <v>32</v>
      </c>
      <c r="P136" s="11" t="s">
        <v>32</v>
      </c>
      <c r="Q136" s="49">
        <v>101.47008264462811</v>
      </c>
      <c r="R136" s="10">
        <v>98.998732782369103</v>
      </c>
      <c r="S136" s="42">
        <v>100.51111432506887</v>
      </c>
      <c r="T136" s="69">
        <f t="shared" si="17"/>
        <v>48</v>
      </c>
      <c r="U136" s="23">
        <f t="shared" si="18"/>
        <v>0.43915035395623486</v>
      </c>
      <c r="V136" s="8">
        <f t="shared" si="19"/>
        <v>0.43684905356942777</v>
      </c>
      <c r="W136" s="11">
        <f t="shared" si="20"/>
        <v>0.44317069968957812</v>
      </c>
      <c r="X136" s="23">
        <f t="shared" si="16"/>
        <v>1.0866021736953246</v>
      </c>
      <c r="Y136" s="23">
        <f t="shared" si="16"/>
        <v>1.080908000890719</v>
      </c>
      <c r="Z136" s="23">
        <f t="shared" si="16"/>
        <v>1.0965498291475</v>
      </c>
    </row>
    <row r="137" spans="1:26" x14ac:dyDescent="0.3">
      <c r="A137" s="69" t="s">
        <v>321</v>
      </c>
      <c r="B137" s="11" t="s">
        <v>425</v>
      </c>
      <c r="C137" s="8"/>
      <c r="D137" s="23" t="s">
        <v>426</v>
      </c>
      <c r="E137" s="23" t="s">
        <v>120</v>
      </c>
      <c r="F137" s="8">
        <v>3</v>
      </c>
      <c r="G137" s="11" t="s">
        <v>427</v>
      </c>
      <c r="H137" s="36">
        <v>5.0887499935925007</v>
      </c>
      <c r="I137" s="10">
        <v>5.0750000402331352</v>
      </c>
      <c r="J137" s="37">
        <v>5.5162498727440834</v>
      </c>
      <c r="K137" s="36">
        <v>9.7300000488758087</v>
      </c>
      <c r="L137" s="10">
        <v>9.5237500965595245</v>
      </c>
      <c r="M137" s="37">
        <v>9.8912501707673073</v>
      </c>
      <c r="N137" s="23" t="s">
        <v>32</v>
      </c>
      <c r="O137" s="8" t="s">
        <v>32</v>
      </c>
      <c r="P137" s="11" t="s">
        <v>32</v>
      </c>
      <c r="Q137" s="49">
        <v>118.25079614325068</v>
      </c>
      <c r="R137" s="10">
        <v>105.48923140495801</v>
      </c>
      <c r="S137" s="42">
        <v>104.51112121212121</v>
      </c>
      <c r="T137" s="69">
        <f t="shared" si="17"/>
        <v>48</v>
      </c>
      <c r="U137" s="23">
        <f t="shared" si="18"/>
        <v>0.50638401656925491</v>
      </c>
      <c r="V137" s="8">
        <f t="shared" si="19"/>
        <v>0.46151826720664296</v>
      </c>
      <c r="W137" s="11">
        <f t="shared" si="20"/>
        <v>0.44025072415767674</v>
      </c>
      <c r="X137" s="23">
        <f t="shared" si="16"/>
        <v>1.2529603316306508</v>
      </c>
      <c r="Y137" s="23">
        <f t="shared" si="16"/>
        <v>1.1419477357333871</v>
      </c>
      <c r="Z137" s="23">
        <f t="shared" si="16"/>
        <v>1.0893248508877367</v>
      </c>
    </row>
    <row r="138" spans="1:26" x14ac:dyDescent="0.3">
      <c r="A138" s="69" t="s">
        <v>321</v>
      </c>
      <c r="B138" s="11" t="s">
        <v>428</v>
      </c>
      <c r="C138" s="8"/>
      <c r="D138" s="23" t="s">
        <v>429</v>
      </c>
      <c r="E138" s="23" t="s">
        <v>120</v>
      </c>
      <c r="F138" s="8">
        <v>3</v>
      </c>
      <c r="G138" s="11" t="s">
        <v>430</v>
      </c>
      <c r="H138" s="36">
        <v>4.5175000093877316</v>
      </c>
      <c r="I138" s="10">
        <v>4.4125000014901161</v>
      </c>
      <c r="J138" s="37">
        <v>4.401249997317791</v>
      </c>
      <c r="K138" s="36">
        <v>8.6037499830126762</v>
      </c>
      <c r="L138" s="10">
        <v>8.7587499991059303</v>
      </c>
      <c r="M138" s="37">
        <v>8.4987498819828033</v>
      </c>
      <c r="N138" s="23" t="s">
        <v>32</v>
      </c>
      <c r="O138" s="8" t="s">
        <v>32</v>
      </c>
      <c r="P138" s="11" t="s">
        <v>32</v>
      </c>
      <c r="Q138" s="49">
        <v>97.5047672176308</v>
      </c>
      <c r="R138" s="10">
        <v>97.283342975206594</v>
      </c>
      <c r="S138" s="42">
        <v>92.885333333333307</v>
      </c>
      <c r="T138" s="69">
        <f t="shared" si="17"/>
        <v>48</v>
      </c>
      <c r="U138" s="23">
        <f t="shared" si="18"/>
        <v>0.47220091728483277</v>
      </c>
      <c r="V138" s="8">
        <f t="shared" si="19"/>
        <v>0.46279122299194619</v>
      </c>
      <c r="W138" s="11">
        <f t="shared" si="20"/>
        <v>0.45538723647192186</v>
      </c>
      <c r="X138" s="23">
        <f t="shared" si="16"/>
        <v>1.1683801197476884</v>
      </c>
      <c r="Y138" s="23">
        <f t="shared" si="16"/>
        <v>1.1450974463299233</v>
      </c>
      <c r="Z138" s="23">
        <f t="shared" si="16"/>
        <v>1.1267775525300172</v>
      </c>
    </row>
    <row r="139" spans="1:26" x14ac:dyDescent="0.3">
      <c r="A139" s="69" t="s">
        <v>321</v>
      </c>
      <c r="B139" s="11" t="s">
        <v>431</v>
      </c>
      <c r="C139" s="8"/>
      <c r="D139" s="23" t="s">
        <v>431</v>
      </c>
      <c r="E139" s="23" t="s">
        <v>120</v>
      </c>
      <c r="F139" s="8">
        <v>3</v>
      </c>
      <c r="G139" s="11" t="s">
        <v>432</v>
      </c>
      <c r="H139" s="36">
        <v>4.5387499965727329</v>
      </c>
      <c r="I139" s="10">
        <v>4.4562499970197678</v>
      </c>
      <c r="J139" s="37">
        <v>4.4887499883770943</v>
      </c>
      <c r="K139" s="36">
        <v>8.8050002232193947</v>
      </c>
      <c r="L139" s="10">
        <v>9.2000000178813934</v>
      </c>
      <c r="M139" s="37">
        <v>8.8300000876188278</v>
      </c>
      <c r="N139" s="23" t="s">
        <v>32</v>
      </c>
      <c r="O139" s="8" t="s">
        <v>32</v>
      </c>
      <c r="P139" s="11" t="s">
        <v>32</v>
      </c>
      <c r="Q139" s="49">
        <v>89.255209366391185</v>
      </c>
      <c r="R139" s="10">
        <v>93.684932506887051</v>
      </c>
      <c r="S139" s="42">
        <v>90.266900826446289</v>
      </c>
      <c r="T139" s="69">
        <f t="shared" si="17"/>
        <v>48</v>
      </c>
      <c r="U139" s="23">
        <f t="shared" si="18"/>
        <v>0.42236989922223883</v>
      </c>
      <c r="V139" s="8">
        <f t="shared" si="19"/>
        <v>0.4242977007463688</v>
      </c>
      <c r="W139" s="11">
        <f t="shared" si="20"/>
        <v>0.42594799891818019</v>
      </c>
      <c r="X139" s="23">
        <f t="shared" si="16"/>
        <v>1.045081818706898</v>
      </c>
      <c r="Y139" s="23">
        <f t="shared" si="16"/>
        <v>1.0498518326843467</v>
      </c>
      <c r="Z139" s="23">
        <f t="shared" si="16"/>
        <v>1.0539352122480448</v>
      </c>
    </row>
    <row r="140" spans="1:26" x14ac:dyDescent="0.3">
      <c r="A140" s="69" t="s">
        <v>321</v>
      </c>
      <c r="B140" s="11" t="s">
        <v>433</v>
      </c>
      <c r="C140" s="8"/>
      <c r="D140" s="23" t="s">
        <v>434</v>
      </c>
      <c r="E140" s="23" t="s">
        <v>120</v>
      </c>
      <c r="F140" s="8">
        <v>3</v>
      </c>
      <c r="G140" s="11" t="s">
        <v>435</v>
      </c>
      <c r="H140" s="36">
        <v>5.2237499505281448</v>
      </c>
      <c r="I140" s="10">
        <v>5.4999999701976776</v>
      </c>
      <c r="J140" s="37">
        <v>5.5074999108910561</v>
      </c>
      <c r="K140" s="36">
        <v>9.9662501364946365</v>
      </c>
      <c r="L140" s="10">
        <v>12.384999915957451</v>
      </c>
      <c r="M140" s="37">
        <v>10.625000111758709</v>
      </c>
      <c r="N140" s="23" t="s">
        <v>32</v>
      </c>
      <c r="O140" s="8" t="s">
        <v>32</v>
      </c>
      <c r="P140" s="11" t="s">
        <v>32</v>
      </c>
      <c r="Q140" s="49">
        <v>115.76318595041324</v>
      </c>
      <c r="R140" s="10">
        <v>106.37773553719011</v>
      </c>
      <c r="S140" s="42">
        <v>115.62695867768595</v>
      </c>
      <c r="T140" s="69">
        <f t="shared" si="17"/>
        <v>48</v>
      </c>
      <c r="U140" s="23">
        <f t="shared" si="18"/>
        <v>0.48398003413586249</v>
      </c>
      <c r="V140" s="8">
        <f t="shared" si="19"/>
        <v>0.35788499616152514</v>
      </c>
      <c r="W140" s="11">
        <f t="shared" si="20"/>
        <v>0.45343904886850056</v>
      </c>
      <c r="X140" s="23">
        <f t="shared" si="16"/>
        <v>1.1975255225903234</v>
      </c>
      <c r="Y140" s="23">
        <f t="shared" si="16"/>
        <v>0.88552499447788502</v>
      </c>
      <c r="Z140" s="23">
        <f t="shared" si="16"/>
        <v>1.121957096698494</v>
      </c>
    </row>
    <row r="141" spans="1:26" x14ac:dyDescent="0.3">
      <c r="A141" s="69" t="s">
        <v>321</v>
      </c>
      <c r="B141" s="11" t="s">
        <v>86</v>
      </c>
      <c r="C141" s="8" t="s">
        <v>86</v>
      </c>
      <c r="D141" s="23" t="s">
        <v>86</v>
      </c>
      <c r="E141" s="23" t="s">
        <v>87</v>
      </c>
      <c r="F141" s="8">
        <v>3</v>
      </c>
      <c r="G141" s="11" t="s">
        <v>335</v>
      </c>
      <c r="H141" s="36">
        <v>5.3812500089406967</v>
      </c>
      <c r="I141" s="10">
        <v>5.3949999623000622</v>
      </c>
      <c r="J141" s="37">
        <v>5.1987498998641968</v>
      </c>
      <c r="K141" s="36">
        <v>10.034999996423721</v>
      </c>
      <c r="L141" s="10">
        <v>9.7987499088048935</v>
      </c>
      <c r="M141" s="37">
        <v>10.213750042021275</v>
      </c>
      <c r="N141" s="23" t="s">
        <v>32</v>
      </c>
      <c r="O141" s="8" t="s">
        <v>32</v>
      </c>
      <c r="P141" s="11" t="s">
        <v>32</v>
      </c>
      <c r="Q141" s="49">
        <v>97.641998622589526</v>
      </c>
      <c r="R141" s="10">
        <v>96.422460055096423</v>
      </c>
      <c r="S141" s="42">
        <v>101.873994490358</v>
      </c>
      <c r="T141" s="69">
        <f t="shared" si="17"/>
        <v>48</v>
      </c>
      <c r="U141" s="23">
        <f t="shared" si="18"/>
        <v>0.40542268168654388</v>
      </c>
      <c r="V141" s="8">
        <f t="shared" si="19"/>
        <v>0.41001174024102549</v>
      </c>
      <c r="W141" s="11">
        <f t="shared" si="20"/>
        <v>0.41559170265258993</v>
      </c>
      <c r="X141" s="23">
        <f t="shared" si="16"/>
        <v>1.0031488377893674</v>
      </c>
      <c r="Y141" s="23">
        <f t="shared" si="16"/>
        <v>1.0145036755017645</v>
      </c>
      <c r="Z141" s="23">
        <f t="shared" si="16"/>
        <v>1.0283103347266103</v>
      </c>
    </row>
    <row r="142" spans="1:26" x14ac:dyDescent="0.3">
      <c r="A142" s="69" t="s">
        <v>321</v>
      </c>
      <c r="B142" s="11" t="s">
        <v>86</v>
      </c>
      <c r="C142" s="8" t="s">
        <v>86</v>
      </c>
      <c r="D142" s="23" t="s">
        <v>86</v>
      </c>
      <c r="E142" s="23" t="s">
        <v>87</v>
      </c>
      <c r="F142" s="8">
        <v>3</v>
      </c>
      <c r="G142" s="11" t="s">
        <v>335</v>
      </c>
      <c r="H142" s="36">
        <v>4.6649998985230923</v>
      </c>
      <c r="I142" s="10">
        <v>4.6762500889599323</v>
      </c>
      <c r="J142" s="37">
        <v>4.4437500648200512</v>
      </c>
      <c r="K142" s="36">
        <v>9.1724999248981476</v>
      </c>
      <c r="L142" s="10">
        <v>9.2037498950958252</v>
      </c>
      <c r="M142" s="37">
        <v>8.8187498971819878</v>
      </c>
      <c r="N142" s="23" t="s">
        <v>32</v>
      </c>
      <c r="O142" s="8" t="s">
        <v>32</v>
      </c>
      <c r="P142" s="11" t="s">
        <v>32</v>
      </c>
      <c r="Q142" s="49">
        <v>84.299450413223141</v>
      </c>
      <c r="R142" s="10">
        <v>85.514173553719004</v>
      </c>
      <c r="S142" s="42">
        <v>89.698126721763089</v>
      </c>
      <c r="T142" s="69">
        <f t="shared" si="17"/>
        <v>48</v>
      </c>
      <c r="U142" s="23">
        <f t="shared" si="18"/>
        <v>0.38293563688308963</v>
      </c>
      <c r="V142" s="8">
        <f t="shared" si="19"/>
        <v>0.38713465765045046</v>
      </c>
      <c r="W142" s="11">
        <f t="shared" si="20"/>
        <v>0.42380405276426014</v>
      </c>
      <c r="X142" s="23">
        <f t="shared" si="16"/>
        <v>0.94750850517141239</v>
      </c>
      <c r="Y142" s="23">
        <f t="shared" si="16"/>
        <v>0.9578982613269108</v>
      </c>
      <c r="Z142" s="23">
        <f t="shared" si="16"/>
        <v>1.0486303854839352</v>
      </c>
    </row>
    <row r="143" spans="1:26" x14ac:dyDescent="0.3">
      <c r="A143" s="69" t="s">
        <v>321</v>
      </c>
      <c r="B143" s="11" t="s">
        <v>117</v>
      </c>
      <c r="C143" s="8" t="s">
        <v>118</v>
      </c>
      <c r="D143" s="77" t="s">
        <v>119</v>
      </c>
      <c r="E143" s="23" t="s">
        <v>120</v>
      </c>
      <c r="F143" s="8">
        <v>5</v>
      </c>
      <c r="G143" s="37" t="s">
        <v>436</v>
      </c>
      <c r="H143" s="23">
        <v>4.4624999165534973</v>
      </c>
      <c r="I143" s="8">
        <v>4.4362500309944153</v>
      </c>
      <c r="J143" s="11">
        <v>4.4862499460577965</v>
      </c>
      <c r="K143" s="23">
        <v>12.045000120997429</v>
      </c>
      <c r="L143" s="8">
        <v>11.818750202655792</v>
      </c>
      <c r="M143" s="11">
        <v>11.275000125169754</v>
      </c>
      <c r="N143" s="23">
        <v>13.080000132322311</v>
      </c>
      <c r="O143" s="8">
        <v>13.742499798536301</v>
      </c>
      <c r="P143" s="11">
        <v>12.26624995470047</v>
      </c>
      <c r="Q143" s="48">
        <v>243.33968595041321</v>
      </c>
      <c r="R143" s="8">
        <v>248.96411294765841</v>
      </c>
      <c r="S143" s="20">
        <v>257.71458402203854</v>
      </c>
      <c r="T143" s="69">
        <f t="shared" si="17"/>
        <v>72</v>
      </c>
      <c r="U143" s="23">
        <f t="shared" si="18"/>
        <v>0.42088640429285479</v>
      </c>
      <c r="V143" s="8">
        <f t="shared" si="19"/>
        <v>0.4388579387954829</v>
      </c>
      <c r="W143" s="11">
        <f t="shared" si="20"/>
        <v>0.47619102210090963</v>
      </c>
      <c r="X143" s="23">
        <f>U143/AVERAGE($U$187:$W$187)</f>
        <v>0.77819706229154983</v>
      </c>
      <c r="Y143" s="23">
        <f t="shared" ref="Y143:Z158" si="21">V143/AVERAGE($U$187:$W$187)</f>
        <v>0.81142549450549539</v>
      </c>
      <c r="Z143" s="23">
        <f t="shared" si="21"/>
        <v>0.88045242305021965</v>
      </c>
    </row>
    <row r="144" spans="1:26" x14ac:dyDescent="0.3">
      <c r="A144" s="69" t="s">
        <v>321</v>
      </c>
      <c r="B144" s="11" t="s">
        <v>122</v>
      </c>
      <c r="C144" s="8" t="s">
        <v>123</v>
      </c>
      <c r="D144" s="23" t="s">
        <v>122</v>
      </c>
      <c r="E144" s="23" t="s">
        <v>120</v>
      </c>
      <c r="F144" s="8">
        <v>5</v>
      </c>
      <c r="G144" s="11" t="s">
        <v>437</v>
      </c>
      <c r="H144" s="23">
        <v>6.1050000600516796</v>
      </c>
      <c r="I144" s="8">
        <v>5.4675000719726086</v>
      </c>
      <c r="J144" s="11">
        <v>5.6675000116229057</v>
      </c>
      <c r="K144" s="23">
        <v>14.428750053048134</v>
      </c>
      <c r="L144" s="8">
        <v>13.622499816119671</v>
      </c>
      <c r="M144" s="11">
        <v>13.485000096261501</v>
      </c>
      <c r="N144" s="23">
        <v>15.307500213384628</v>
      </c>
      <c r="O144" s="8">
        <v>15.183749794960022</v>
      </c>
      <c r="P144" s="11">
        <v>14.738750085234642</v>
      </c>
      <c r="Q144" s="48">
        <v>266.60197382920109</v>
      </c>
      <c r="R144" s="8">
        <v>270.66716115702485</v>
      </c>
      <c r="S144" s="20">
        <v>261.20975895316803</v>
      </c>
      <c r="T144" s="69">
        <f t="shared" si="17"/>
        <v>72</v>
      </c>
      <c r="U144" s="23">
        <f t="shared" si="18"/>
        <v>0.38494032869707978</v>
      </c>
      <c r="V144" s="8">
        <f t="shared" si="19"/>
        <v>0.41394011869236896</v>
      </c>
      <c r="W144" s="11">
        <f t="shared" si="20"/>
        <v>0.40354986572819312</v>
      </c>
      <c r="X144" s="23">
        <f t="shared" ref="X144:Z187" si="22">U144/AVERAGE($U$187:$W$187)</f>
        <v>0.71173463883422605</v>
      </c>
      <c r="Y144" s="23">
        <f t="shared" si="21"/>
        <v>0.76535374164017778</v>
      </c>
      <c r="Z144" s="23">
        <f t="shared" si="21"/>
        <v>0.74614270452727149</v>
      </c>
    </row>
    <row r="145" spans="1:26" x14ac:dyDescent="0.3">
      <c r="A145" s="69" t="s">
        <v>321</v>
      </c>
      <c r="B145" s="11" t="s">
        <v>125</v>
      </c>
      <c r="C145" s="8" t="s">
        <v>126</v>
      </c>
      <c r="D145" s="23" t="s">
        <v>125</v>
      </c>
      <c r="E145" s="23" t="s">
        <v>120</v>
      </c>
      <c r="F145" s="8">
        <v>5</v>
      </c>
      <c r="G145" s="37" t="s">
        <v>438</v>
      </c>
      <c r="H145" s="23">
        <v>4.8925000242888927</v>
      </c>
      <c r="I145" s="8">
        <v>4.8449999652802944</v>
      </c>
      <c r="J145" s="11">
        <v>5.1850000396370888</v>
      </c>
      <c r="K145" s="23">
        <v>13.348750025033951</v>
      </c>
      <c r="L145" s="8">
        <v>13.484999909996986</v>
      </c>
      <c r="M145" s="11">
        <v>12.676249817013741</v>
      </c>
      <c r="N145" s="23">
        <v>16.842500120401382</v>
      </c>
      <c r="O145" s="8">
        <v>15.497500076889992</v>
      </c>
      <c r="P145" s="11">
        <v>14.646250195801258</v>
      </c>
      <c r="Q145" s="48">
        <v>250.9309008264463</v>
      </c>
      <c r="R145" s="8">
        <v>254.43447796143249</v>
      </c>
      <c r="S145" s="20">
        <v>243.78463223140491</v>
      </c>
      <c r="T145" s="69">
        <f t="shared" si="17"/>
        <v>72</v>
      </c>
      <c r="U145" s="23">
        <f t="shared" si="18"/>
        <v>0.39162671341863481</v>
      </c>
      <c r="V145" s="8">
        <f t="shared" si="19"/>
        <v>0.3930825603442189</v>
      </c>
      <c r="W145" s="11">
        <f t="shared" si="20"/>
        <v>0.40065844221563363</v>
      </c>
      <c r="X145" s="23">
        <f t="shared" si="22"/>
        <v>0.72409741628342283</v>
      </c>
      <c r="Y145" s="23">
        <f t="shared" si="21"/>
        <v>0.72678920149929171</v>
      </c>
      <c r="Z145" s="23">
        <f t="shared" si="21"/>
        <v>0.74079661289693011</v>
      </c>
    </row>
    <row r="146" spans="1:26" x14ac:dyDescent="0.3">
      <c r="A146" s="69" t="s">
        <v>321</v>
      </c>
      <c r="B146" s="11" t="s">
        <v>128</v>
      </c>
      <c r="C146" s="8" t="s">
        <v>129</v>
      </c>
      <c r="D146" s="23" t="s">
        <v>128</v>
      </c>
      <c r="E146" s="23" t="s">
        <v>120</v>
      </c>
      <c r="F146" s="8">
        <v>5</v>
      </c>
      <c r="G146" s="11" t="s">
        <v>439</v>
      </c>
      <c r="H146" s="23">
        <v>5.7987500913441181</v>
      </c>
      <c r="I146" s="8">
        <v>5.6062499992549419</v>
      </c>
      <c r="J146" s="11">
        <v>5.6337499991059303</v>
      </c>
      <c r="K146" s="23">
        <v>13.358750194311142</v>
      </c>
      <c r="L146" s="8">
        <v>12.966250069439411</v>
      </c>
      <c r="M146" s="11">
        <v>12.506250105798244</v>
      </c>
      <c r="N146" s="23">
        <v>16.078750044107437</v>
      </c>
      <c r="O146" s="8">
        <v>15.129999816417694</v>
      </c>
      <c r="P146" s="11">
        <v>14.341249689459801</v>
      </c>
      <c r="Q146" s="48">
        <v>308.80961845730025</v>
      </c>
      <c r="R146" s="8">
        <v>307.11466804407712</v>
      </c>
      <c r="S146" s="20">
        <v>306.48136914600548</v>
      </c>
      <c r="T146" s="69">
        <f t="shared" si="17"/>
        <v>72</v>
      </c>
      <c r="U146" s="23">
        <f t="shared" si="18"/>
        <v>0.48159697758254055</v>
      </c>
      <c r="V146" s="8">
        <f t="shared" si="19"/>
        <v>0.49345201709463077</v>
      </c>
      <c r="W146" s="11">
        <f t="shared" si="20"/>
        <v>0.51054700408676756</v>
      </c>
      <c r="X146" s="23">
        <f t="shared" si="22"/>
        <v>0.89044775345713123</v>
      </c>
      <c r="Y146" s="23">
        <f t="shared" si="21"/>
        <v>0.91236710468245541</v>
      </c>
      <c r="Z146" s="23">
        <f t="shared" si="21"/>
        <v>0.9439748461573656</v>
      </c>
    </row>
    <row r="147" spans="1:26" x14ac:dyDescent="0.3">
      <c r="A147" s="69" t="s">
        <v>321</v>
      </c>
      <c r="B147" s="11" t="s">
        <v>131</v>
      </c>
      <c r="C147" s="8" t="s">
        <v>132</v>
      </c>
      <c r="D147" s="23" t="s">
        <v>131</v>
      </c>
      <c r="E147" s="23" t="s">
        <v>120</v>
      </c>
      <c r="F147" s="8">
        <v>5</v>
      </c>
      <c r="G147" s="37" t="s">
        <v>440</v>
      </c>
      <c r="H147" s="23">
        <v>6.1149999499320984</v>
      </c>
      <c r="I147" s="8">
        <v>5.5425000376999378</v>
      </c>
      <c r="J147" s="11">
        <v>5.8024999685585499</v>
      </c>
      <c r="K147" s="23">
        <v>14.713750034570694</v>
      </c>
      <c r="L147" s="8">
        <v>13.090000115334988</v>
      </c>
      <c r="M147" s="11">
        <v>12.640000134706497</v>
      </c>
      <c r="N147" s="23">
        <v>15.712499991059303</v>
      </c>
      <c r="O147" s="8">
        <v>15.334999933838844</v>
      </c>
      <c r="P147" s="11">
        <v>13.887500017881393</v>
      </c>
      <c r="Q147" s="48">
        <v>275.31483057851244</v>
      </c>
      <c r="R147" s="8">
        <v>277.00318319559233</v>
      </c>
      <c r="S147" s="20">
        <v>265.50491184573002</v>
      </c>
      <c r="T147" s="69">
        <f t="shared" si="17"/>
        <v>72</v>
      </c>
      <c r="U147" s="23">
        <f t="shared" si="18"/>
        <v>0.38982078828143524</v>
      </c>
      <c r="V147" s="8">
        <f t="shared" si="19"/>
        <v>0.44086322376327108</v>
      </c>
      <c r="W147" s="11">
        <f t="shared" si="20"/>
        <v>0.43760698347870819</v>
      </c>
      <c r="X147" s="23">
        <f t="shared" si="22"/>
        <v>0.72075835466928406</v>
      </c>
      <c r="Y147" s="23">
        <f t="shared" si="21"/>
        <v>0.81513316207345121</v>
      </c>
      <c r="Z147" s="23">
        <f t="shared" si="21"/>
        <v>0.80911254321354842</v>
      </c>
    </row>
    <row r="148" spans="1:26" x14ac:dyDescent="0.3">
      <c r="A148" s="69" t="s">
        <v>321</v>
      </c>
      <c r="B148" s="11" t="s">
        <v>134</v>
      </c>
      <c r="C148" s="8" t="s">
        <v>135</v>
      </c>
      <c r="D148" s="23" t="s">
        <v>134</v>
      </c>
      <c r="E148" s="23" t="s">
        <v>120</v>
      </c>
      <c r="F148" s="8">
        <v>5</v>
      </c>
      <c r="G148" s="11" t="s">
        <v>441</v>
      </c>
      <c r="H148" s="23">
        <v>6.0962499119341373</v>
      </c>
      <c r="I148" s="8">
        <v>5.709999892860651</v>
      </c>
      <c r="J148" s="11">
        <v>6.0337499715387821</v>
      </c>
      <c r="K148" s="23">
        <v>14.505000039935112</v>
      </c>
      <c r="L148" s="8">
        <v>13.226249814033508</v>
      </c>
      <c r="M148" s="11">
        <v>12.597499787807465</v>
      </c>
      <c r="N148" s="23">
        <v>17.148750275373459</v>
      </c>
      <c r="O148" s="8">
        <v>15.431249886751175</v>
      </c>
      <c r="P148" s="11">
        <v>14.256250113248825</v>
      </c>
      <c r="Q148" s="48">
        <v>295.17660881542702</v>
      </c>
      <c r="R148" s="8">
        <v>278.4998884297521</v>
      </c>
      <c r="S148" s="20">
        <v>272.27816804407712</v>
      </c>
      <c r="T148" s="69">
        <f t="shared" si="17"/>
        <v>72</v>
      </c>
      <c r="U148" s="23">
        <f t="shared" si="18"/>
        <v>0.42395812938462002</v>
      </c>
      <c r="V148" s="8">
        <f t="shared" si="19"/>
        <v>0.43867922431020173</v>
      </c>
      <c r="W148" s="11">
        <f t="shared" si="20"/>
        <v>0.45028473346288278</v>
      </c>
      <c r="X148" s="23">
        <f t="shared" si="22"/>
        <v>0.78387652216052595</v>
      </c>
      <c r="Y148" s="23">
        <f t="shared" si="21"/>
        <v>0.81109506072094872</v>
      </c>
      <c r="Z148" s="23">
        <f t="shared" si="21"/>
        <v>0.83255304329510194</v>
      </c>
    </row>
    <row r="149" spans="1:26" x14ac:dyDescent="0.3">
      <c r="A149" s="69" t="s">
        <v>321</v>
      </c>
      <c r="B149" s="11" t="s">
        <v>137</v>
      </c>
      <c r="C149" s="8" t="s">
        <v>138</v>
      </c>
      <c r="D149" s="23" t="s">
        <v>137</v>
      </c>
      <c r="E149" s="23" t="s">
        <v>120</v>
      </c>
      <c r="F149" s="8">
        <v>5</v>
      </c>
      <c r="G149" s="37" t="s">
        <v>442</v>
      </c>
      <c r="H149" s="23">
        <v>5.3574999794363976</v>
      </c>
      <c r="I149" s="8">
        <v>5.4062500596046448</v>
      </c>
      <c r="J149" s="11">
        <v>5.5774999782443047</v>
      </c>
      <c r="K149" s="23">
        <v>11.5362498909235</v>
      </c>
      <c r="L149" s="8">
        <v>12.403749860823154</v>
      </c>
      <c r="M149" s="11">
        <v>12.227500043809414</v>
      </c>
      <c r="N149" s="23">
        <v>14.086250215768814</v>
      </c>
      <c r="O149" s="8">
        <v>14.147499948740005</v>
      </c>
      <c r="P149" s="11">
        <v>13.313749805092812</v>
      </c>
      <c r="Q149" s="48">
        <v>300.16162809917353</v>
      </c>
      <c r="R149" s="8">
        <v>317.82247107438019</v>
      </c>
      <c r="S149" s="20">
        <v>302.29259228650142</v>
      </c>
      <c r="T149" s="69">
        <f t="shared" si="17"/>
        <v>72</v>
      </c>
      <c r="U149" s="23">
        <f t="shared" si="18"/>
        <v>0.54206239559582914</v>
      </c>
      <c r="V149" s="8">
        <f t="shared" si="19"/>
        <v>0.53381449602022546</v>
      </c>
      <c r="W149" s="11">
        <f t="shared" si="20"/>
        <v>0.51504905473221141</v>
      </c>
      <c r="X149" s="23">
        <f t="shared" si="22"/>
        <v>1.0022451652723898</v>
      </c>
      <c r="Y149" s="23">
        <f t="shared" si="21"/>
        <v>0.98699522810562768</v>
      </c>
      <c r="Z149" s="23">
        <f t="shared" si="21"/>
        <v>0.95229890355346636</v>
      </c>
    </row>
    <row r="150" spans="1:26" x14ac:dyDescent="0.3">
      <c r="A150" s="69" t="s">
        <v>321</v>
      </c>
      <c r="B150" s="11" t="s">
        <v>140</v>
      </c>
      <c r="C150" s="8" t="s">
        <v>141</v>
      </c>
      <c r="D150" s="23" t="s">
        <v>140</v>
      </c>
      <c r="E150" s="23" t="s">
        <v>120</v>
      </c>
      <c r="F150" s="8">
        <v>5</v>
      </c>
      <c r="G150" s="11" t="s">
        <v>443</v>
      </c>
      <c r="H150" s="23">
        <v>5.7350000366568565</v>
      </c>
      <c r="I150" s="8">
        <v>5.4337499663233757</v>
      </c>
      <c r="J150" s="11">
        <v>5.5762499570846558</v>
      </c>
      <c r="K150" s="23">
        <v>13.15000019967556</v>
      </c>
      <c r="L150" s="8">
        <v>13.337500207126141</v>
      </c>
      <c r="M150" s="11">
        <v>13.892500102519989</v>
      </c>
      <c r="N150" s="23">
        <v>14.790000393986702</v>
      </c>
      <c r="O150" s="8">
        <v>13.073750026524067</v>
      </c>
      <c r="P150" s="11">
        <v>13.774999976158142</v>
      </c>
      <c r="Q150" s="48">
        <v>293.23144490358129</v>
      </c>
      <c r="R150" s="8">
        <v>283.52198071625344</v>
      </c>
      <c r="S150" s="20">
        <v>298.20796969696971</v>
      </c>
      <c r="T150" s="69">
        <f t="shared" si="17"/>
        <v>72</v>
      </c>
      <c r="U150" s="23">
        <f t="shared" si="18"/>
        <v>0.46456185115814669</v>
      </c>
      <c r="V150" s="8">
        <f t="shared" si="19"/>
        <v>0.44286469277299029</v>
      </c>
      <c r="W150" s="11">
        <f t="shared" si="20"/>
        <v>0.44719568036761131</v>
      </c>
      <c r="X150" s="23">
        <f t="shared" si="22"/>
        <v>0.85895069105735744</v>
      </c>
      <c r="Y150" s="23">
        <f t="shared" si="21"/>
        <v>0.81883377413348657</v>
      </c>
      <c r="Z150" s="23">
        <f t="shared" si="21"/>
        <v>0.82684154484924044</v>
      </c>
    </row>
    <row r="151" spans="1:26" x14ac:dyDescent="0.3">
      <c r="A151" s="69" t="s">
        <v>321</v>
      </c>
      <c r="B151" s="11" t="s">
        <v>143</v>
      </c>
      <c r="C151" s="8" t="s">
        <v>144</v>
      </c>
      <c r="D151" s="23" t="s">
        <v>143</v>
      </c>
      <c r="E151" s="23" t="s">
        <v>120</v>
      </c>
      <c r="F151" s="8">
        <v>5</v>
      </c>
      <c r="G151" s="37" t="s">
        <v>444</v>
      </c>
      <c r="H151" s="23">
        <v>4.9062499776482582</v>
      </c>
      <c r="I151" s="8">
        <v>5.0887499004602432</v>
      </c>
      <c r="J151" s="11">
        <v>5.2212500013411045</v>
      </c>
      <c r="K151" s="23">
        <v>12.996250204741955</v>
      </c>
      <c r="L151" s="8">
        <v>11.197499930858612</v>
      </c>
      <c r="M151" s="11">
        <v>14.317500032484531</v>
      </c>
      <c r="N151" s="23">
        <v>15.45375045388937</v>
      </c>
      <c r="O151" s="8">
        <v>13.208750076591969</v>
      </c>
      <c r="P151" s="11">
        <v>15.451249852776527</v>
      </c>
      <c r="Q151" s="48">
        <v>253.68171900826448</v>
      </c>
      <c r="R151" s="8">
        <v>199.60528925619832</v>
      </c>
      <c r="S151" s="20">
        <v>239.48073829201098</v>
      </c>
      <c r="T151" s="69">
        <f t="shared" si="17"/>
        <v>72</v>
      </c>
      <c r="U151" s="23">
        <f t="shared" si="18"/>
        <v>0.40665851529572894</v>
      </c>
      <c r="V151" s="8">
        <f t="shared" si="19"/>
        <v>0.37137249849055665</v>
      </c>
      <c r="W151" s="11">
        <f t="shared" si="20"/>
        <v>0.34846740257939085</v>
      </c>
      <c r="X151" s="23">
        <f t="shared" si="22"/>
        <v>0.75189043583072079</v>
      </c>
      <c r="Y151" s="23">
        <f t="shared" si="21"/>
        <v>0.6866484267335371</v>
      </c>
      <c r="Z151" s="23">
        <f t="shared" si="21"/>
        <v>0.6442980961745749</v>
      </c>
    </row>
    <row r="152" spans="1:26" x14ac:dyDescent="0.3">
      <c r="A152" s="69" t="s">
        <v>321</v>
      </c>
      <c r="B152" s="11" t="s">
        <v>64</v>
      </c>
      <c r="C152" s="8" t="s">
        <v>65</v>
      </c>
      <c r="D152" s="23" t="s">
        <v>64</v>
      </c>
      <c r="E152" s="23" t="s">
        <v>120</v>
      </c>
      <c r="F152" s="8">
        <v>5</v>
      </c>
      <c r="G152" s="11" t="s">
        <v>445</v>
      </c>
      <c r="H152" s="23">
        <v>5.4999999701976776</v>
      </c>
      <c r="I152" s="8">
        <v>5.2424998953938484</v>
      </c>
      <c r="J152" s="11">
        <v>5.2937500178813934</v>
      </c>
      <c r="K152" s="23">
        <v>13.711250014603138</v>
      </c>
      <c r="L152" s="8">
        <v>12.868750095367432</v>
      </c>
      <c r="M152" s="11">
        <v>13.576249964535236</v>
      </c>
      <c r="N152" s="23">
        <v>13.57749979943037</v>
      </c>
      <c r="O152" s="8">
        <v>11.906250007450581</v>
      </c>
      <c r="P152" s="11">
        <v>12.437500059604645</v>
      </c>
      <c r="Q152" s="48">
        <v>56.183450413222999</v>
      </c>
      <c r="R152" s="8">
        <v>51.580165289256001</v>
      </c>
      <c r="S152" s="20">
        <v>52.192070247933998</v>
      </c>
      <c r="T152" s="69">
        <f t="shared" si="17"/>
        <v>72</v>
      </c>
      <c r="U152" s="23">
        <f t="shared" si="18"/>
        <v>8.5367019712196401E-2</v>
      </c>
      <c r="V152" s="8">
        <f t="shared" si="19"/>
        <v>8.3503585732567456E-2</v>
      </c>
      <c r="W152" s="11">
        <f t="shared" si="20"/>
        <v>8.0090952926792372E-2</v>
      </c>
      <c r="X152" s="23">
        <f t="shared" si="22"/>
        <v>0.15783917769506306</v>
      </c>
      <c r="Y152" s="23">
        <f t="shared" si="21"/>
        <v>0.15439378522352937</v>
      </c>
      <c r="Z152" s="23">
        <f t="shared" si="21"/>
        <v>0.14808400472920366</v>
      </c>
    </row>
    <row r="153" spans="1:26" x14ac:dyDescent="0.3">
      <c r="A153" s="69" t="s">
        <v>321</v>
      </c>
      <c r="B153" s="11" t="s">
        <v>56</v>
      </c>
      <c r="C153" s="8" t="s">
        <v>57</v>
      </c>
      <c r="D153" s="23" t="s">
        <v>58</v>
      </c>
      <c r="E153" s="23" t="s">
        <v>120</v>
      </c>
      <c r="F153" s="8">
        <v>5</v>
      </c>
      <c r="G153" s="37" t="s">
        <v>446</v>
      </c>
      <c r="H153" s="23">
        <v>4.9499999731779099</v>
      </c>
      <c r="I153" s="8">
        <v>4.7474998980760574</v>
      </c>
      <c r="J153" s="11">
        <v>4.8275000415742397</v>
      </c>
      <c r="K153" s="23">
        <v>12.616249918937683</v>
      </c>
      <c r="L153" s="8">
        <v>11.805000156164169</v>
      </c>
      <c r="M153" s="11">
        <v>11.922500096261501</v>
      </c>
      <c r="N153" s="23">
        <v>13.447500020265579</v>
      </c>
      <c r="O153" s="8">
        <v>11.877500079572201</v>
      </c>
      <c r="P153" s="11">
        <v>12.091249786317348</v>
      </c>
      <c r="Q153" s="48">
        <v>235.64306749311294</v>
      </c>
      <c r="R153" s="8">
        <v>227.81622589531679</v>
      </c>
      <c r="S153" s="20">
        <v>217.45124655647379</v>
      </c>
      <c r="T153" s="69">
        <f t="shared" si="17"/>
        <v>72</v>
      </c>
      <c r="U153" s="23">
        <f t="shared" si="18"/>
        <v>0.38911963573297337</v>
      </c>
      <c r="V153" s="8">
        <f t="shared" si="19"/>
        <v>0.40204754849925273</v>
      </c>
      <c r="W153" s="11">
        <f t="shared" si="20"/>
        <v>0.37997351785976513</v>
      </c>
      <c r="X153" s="23">
        <f t="shared" si="22"/>
        <v>0.71946196008902197</v>
      </c>
      <c r="Y153" s="23">
        <f t="shared" si="21"/>
        <v>0.74336499813840473</v>
      </c>
      <c r="Z153" s="23">
        <f t="shared" si="21"/>
        <v>0.70255126402541024</v>
      </c>
    </row>
    <row r="154" spans="1:26" x14ac:dyDescent="0.3">
      <c r="A154" s="69" t="s">
        <v>321</v>
      </c>
      <c r="B154" s="11" t="s">
        <v>148</v>
      </c>
      <c r="C154" s="8" t="s">
        <v>149</v>
      </c>
      <c r="D154" s="23" t="s">
        <v>150</v>
      </c>
      <c r="E154" s="23" t="s">
        <v>120</v>
      </c>
      <c r="F154" s="8">
        <v>5</v>
      </c>
      <c r="G154" s="11" t="s">
        <v>447</v>
      </c>
      <c r="H154" s="23">
        <v>4.7537500038743019</v>
      </c>
      <c r="I154" s="8">
        <v>4.5599999837577343</v>
      </c>
      <c r="J154" s="11">
        <v>4.791250079870224</v>
      </c>
      <c r="K154" s="23">
        <v>12.730000168085098</v>
      </c>
      <c r="L154" s="8">
        <v>11.943749710917473</v>
      </c>
      <c r="M154" s="11">
        <v>11.895000003278255</v>
      </c>
      <c r="N154" s="23">
        <v>12.816249951720238</v>
      </c>
      <c r="O154" s="8">
        <v>10.816249810159206</v>
      </c>
      <c r="P154" s="11">
        <v>10.954999923706055</v>
      </c>
      <c r="Q154" s="48">
        <v>222.74328925619835</v>
      </c>
      <c r="R154" s="8">
        <v>220.25046831955922</v>
      </c>
      <c r="S154" s="20">
        <v>206.11483471074379</v>
      </c>
      <c r="T154" s="69">
        <f t="shared" si="17"/>
        <v>72</v>
      </c>
      <c r="U154" s="23">
        <f t="shared" si="18"/>
        <v>0.36453143217322576</v>
      </c>
      <c r="V154" s="8">
        <f t="shared" si="19"/>
        <v>0.3841801389332426</v>
      </c>
      <c r="W154" s="11">
        <f t="shared" si="20"/>
        <v>0.36099697816648918</v>
      </c>
      <c r="X154" s="23">
        <f t="shared" si="22"/>
        <v>0.67399965106202764</v>
      </c>
      <c r="Y154" s="23">
        <f t="shared" si="21"/>
        <v>0.71032908751451518</v>
      </c>
      <c r="Z154" s="23">
        <f t="shared" si="21"/>
        <v>0.66746462950563357</v>
      </c>
    </row>
    <row r="155" spans="1:26" x14ac:dyDescent="0.3">
      <c r="A155" s="69" t="s">
        <v>321</v>
      </c>
      <c r="B155" s="11" t="s">
        <v>152</v>
      </c>
      <c r="C155" s="8" t="s">
        <v>153</v>
      </c>
      <c r="D155" s="23" t="s">
        <v>152</v>
      </c>
      <c r="E155" s="23" t="s">
        <v>120</v>
      </c>
      <c r="F155" s="8">
        <v>5</v>
      </c>
      <c r="G155" s="37" t="s">
        <v>448</v>
      </c>
      <c r="H155" s="23">
        <v>5.6825000792741776</v>
      </c>
      <c r="I155" s="8">
        <v>5.2275000140070915</v>
      </c>
      <c r="J155" s="11">
        <v>5.6875000707805157</v>
      </c>
      <c r="K155" s="23">
        <v>14.7299999371171</v>
      </c>
      <c r="L155" s="8">
        <v>12.772499769926071</v>
      </c>
      <c r="M155" s="11">
        <v>16.712500154972076</v>
      </c>
      <c r="N155" s="23">
        <v>16.642499923706001</v>
      </c>
      <c r="O155" s="8">
        <v>16.291249960660899</v>
      </c>
      <c r="P155" s="11">
        <v>17.562499687075601</v>
      </c>
      <c r="Q155" s="48">
        <v>264.13638016528927</v>
      </c>
      <c r="R155" s="8">
        <v>260.53689669421487</v>
      </c>
      <c r="S155" s="20">
        <v>245.47706611570243</v>
      </c>
      <c r="T155" s="69">
        <f t="shared" si="17"/>
        <v>72</v>
      </c>
      <c r="U155" s="23">
        <f t="shared" si="18"/>
        <v>0.37358053475460656</v>
      </c>
      <c r="V155" s="8">
        <f t="shared" si="19"/>
        <v>0.42496395476499799</v>
      </c>
      <c r="W155" s="11">
        <f t="shared" si="20"/>
        <v>0.30600481655377304</v>
      </c>
      <c r="X155" s="23">
        <f t="shared" si="22"/>
        <v>0.69073097089887747</v>
      </c>
      <c r="Y155" s="23">
        <f t="shared" si="21"/>
        <v>0.78573624095449246</v>
      </c>
      <c r="Z155" s="23">
        <f t="shared" si="21"/>
        <v>0.56578698399465843</v>
      </c>
    </row>
    <row r="156" spans="1:26" x14ac:dyDescent="0.3">
      <c r="A156" s="69" t="s">
        <v>321</v>
      </c>
      <c r="B156" s="11" t="s">
        <v>155</v>
      </c>
      <c r="C156" s="8" t="s">
        <v>156</v>
      </c>
      <c r="D156" s="23" t="s">
        <v>157</v>
      </c>
      <c r="E156" s="23" t="s">
        <v>120</v>
      </c>
      <c r="F156" s="8">
        <v>5</v>
      </c>
      <c r="G156" s="11" t="s">
        <v>449</v>
      </c>
      <c r="H156" s="23">
        <v>5.1462499424815178</v>
      </c>
      <c r="I156" s="8">
        <v>4.9637500196695328</v>
      </c>
      <c r="J156" s="11">
        <v>5.201250035315752</v>
      </c>
      <c r="K156" s="23">
        <v>12.887500040233135</v>
      </c>
      <c r="L156" s="8">
        <v>12.413750216364861</v>
      </c>
      <c r="M156" s="11">
        <v>13.000000081956387</v>
      </c>
      <c r="N156" s="23">
        <v>17.879999913275199</v>
      </c>
      <c r="O156" s="8">
        <v>17.227500066161099</v>
      </c>
      <c r="P156" s="11">
        <v>16.961250193417001</v>
      </c>
      <c r="Q156" s="48">
        <v>240.96660055096422</v>
      </c>
      <c r="R156" s="8">
        <v>235.8546887052342</v>
      </c>
      <c r="S156" s="20">
        <v>225.77557713498621</v>
      </c>
      <c r="T156" s="69">
        <f t="shared" si="17"/>
        <v>72</v>
      </c>
      <c r="U156" s="23">
        <f t="shared" si="18"/>
        <v>0.38953540219640664</v>
      </c>
      <c r="V156" s="8">
        <f t="shared" si="19"/>
        <v>0.39582231496394504</v>
      </c>
      <c r="W156" s="11">
        <f t="shared" si="20"/>
        <v>0.36181983287118719</v>
      </c>
      <c r="X156" s="23">
        <f t="shared" si="22"/>
        <v>0.72023069064706102</v>
      </c>
      <c r="Y156" s="23">
        <f t="shared" si="21"/>
        <v>0.73185486523830645</v>
      </c>
      <c r="Z156" s="23">
        <f t="shared" si="21"/>
        <v>0.66898604504046089</v>
      </c>
    </row>
    <row r="157" spans="1:26" x14ac:dyDescent="0.3">
      <c r="A157" s="69" t="s">
        <v>321</v>
      </c>
      <c r="B157" s="11" t="s">
        <v>159</v>
      </c>
      <c r="C157" s="8" t="s">
        <v>160</v>
      </c>
      <c r="D157" s="23" t="s">
        <v>161</v>
      </c>
      <c r="E157" s="23" t="s">
        <v>120</v>
      </c>
      <c r="F157" s="8">
        <v>5</v>
      </c>
      <c r="G157" s="37" t="s">
        <v>450</v>
      </c>
      <c r="H157" s="23">
        <v>5.7999999262392521</v>
      </c>
      <c r="I157" s="8">
        <v>5.2187499590218067</v>
      </c>
      <c r="J157" s="11">
        <v>5.5687499232590199</v>
      </c>
      <c r="K157" s="23">
        <v>14.297500252723694</v>
      </c>
      <c r="L157" s="8">
        <v>15.974999964237213</v>
      </c>
      <c r="M157" s="11">
        <v>14.358750358223915</v>
      </c>
      <c r="N157" s="23">
        <v>15.8024998828768</v>
      </c>
      <c r="O157" s="8">
        <v>14.691250026226044</v>
      </c>
      <c r="P157" s="11">
        <v>14.650000117719101</v>
      </c>
      <c r="Q157" s="48">
        <v>257.27870661157027</v>
      </c>
      <c r="R157" s="8">
        <v>344.67325344352616</v>
      </c>
      <c r="S157" s="20">
        <v>241.51919696969696</v>
      </c>
      <c r="T157" s="69">
        <f t="shared" si="17"/>
        <v>72</v>
      </c>
      <c r="U157" s="23">
        <f t="shared" si="18"/>
        <v>0.37488882389679495</v>
      </c>
      <c r="V157" s="8">
        <f t="shared" si="19"/>
        <v>0.44949563669162301</v>
      </c>
      <c r="W157" s="11">
        <f t="shared" si="20"/>
        <v>0.35042394437805863</v>
      </c>
      <c r="X157" s="23">
        <f t="shared" si="22"/>
        <v>0.69314992945086373</v>
      </c>
      <c r="Y157" s="23">
        <f t="shared" si="21"/>
        <v>0.83109404442273438</v>
      </c>
      <c r="Z157" s="23">
        <f t="shared" si="21"/>
        <v>0.64791564015899517</v>
      </c>
    </row>
    <row r="158" spans="1:26" x14ac:dyDescent="0.3">
      <c r="A158" s="69" t="s">
        <v>321</v>
      </c>
      <c r="B158" s="11" t="s">
        <v>163</v>
      </c>
      <c r="C158" s="8" t="s">
        <v>164</v>
      </c>
      <c r="D158" s="23" t="s">
        <v>165</v>
      </c>
      <c r="E158" s="23" t="s">
        <v>120</v>
      </c>
      <c r="F158" s="8">
        <v>5</v>
      </c>
      <c r="G158" s="11" t="s">
        <v>451</v>
      </c>
      <c r="H158" s="23">
        <v>4.6662499196827412</v>
      </c>
      <c r="I158" s="8">
        <v>4.4312500394880772</v>
      </c>
      <c r="J158" s="11">
        <v>4.5675000175833702</v>
      </c>
      <c r="K158" s="23">
        <v>12.361250072717667</v>
      </c>
      <c r="L158" s="8">
        <v>11.029999889433384</v>
      </c>
      <c r="M158" s="11">
        <v>11.500000022351742</v>
      </c>
      <c r="N158" s="23">
        <v>12.126250006258488</v>
      </c>
      <c r="O158" s="8">
        <v>10.37249993532896</v>
      </c>
      <c r="P158" s="11">
        <v>10.365000180900097</v>
      </c>
      <c r="Q158" s="48">
        <v>221.65641873278236</v>
      </c>
      <c r="R158" s="8">
        <v>213.97462121212121</v>
      </c>
      <c r="S158" s="20">
        <v>52.443827823691457</v>
      </c>
      <c r="T158" s="69">
        <f t="shared" si="17"/>
        <v>72</v>
      </c>
      <c r="U158" s="23">
        <f t="shared" si="18"/>
        <v>0.37357403416058516</v>
      </c>
      <c r="V158" s="8">
        <f t="shared" si="19"/>
        <v>0.40415273375083033</v>
      </c>
      <c r="W158" s="11">
        <f t="shared" si="20"/>
        <v>9.500693427855085E-2</v>
      </c>
      <c r="X158" s="23">
        <f t="shared" si="22"/>
        <v>0.69071895163876595</v>
      </c>
      <c r="Y158" s="23">
        <f t="shared" si="21"/>
        <v>0.74725737613315057</v>
      </c>
      <c r="Z158" s="23">
        <f t="shared" si="21"/>
        <v>0.17566287815144274</v>
      </c>
    </row>
    <row r="159" spans="1:26" x14ac:dyDescent="0.3">
      <c r="A159" s="69" t="s">
        <v>321</v>
      </c>
      <c r="B159" s="11" t="s">
        <v>167</v>
      </c>
      <c r="C159" s="8" t="s">
        <v>168</v>
      </c>
      <c r="D159" s="23" t="s">
        <v>169</v>
      </c>
      <c r="E159" s="23" t="s">
        <v>120</v>
      </c>
      <c r="F159" s="8">
        <v>5</v>
      </c>
      <c r="G159" s="37" t="s">
        <v>452</v>
      </c>
      <c r="H159" s="23">
        <v>5.1600000821053982</v>
      </c>
      <c r="I159" s="8">
        <v>4.6737499535083771</v>
      </c>
      <c r="J159" s="11">
        <v>5.1399999298155308</v>
      </c>
      <c r="K159" s="23">
        <v>13.718749955296516</v>
      </c>
      <c r="L159" s="8">
        <v>12.752500176429749</v>
      </c>
      <c r="M159" s="11">
        <v>12.902499921619892</v>
      </c>
      <c r="N159" s="23">
        <v>13.093750178813934</v>
      </c>
      <c r="O159" s="8">
        <v>11.684999987483025</v>
      </c>
      <c r="P159" s="11">
        <v>10.651249997317791</v>
      </c>
      <c r="Q159" s="48">
        <v>228.69367355371904</v>
      </c>
      <c r="R159" s="8">
        <v>223.90599311294764</v>
      </c>
      <c r="S159" s="20">
        <v>212.30503305785123</v>
      </c>
      <c r="T159" s="69">
        <f t="shared" si="17"/>
        <v>72</v>
      </c>
      <c r="U159" s="23">
        <f t="shared" si="18"/>
        <v>0.34729487365061956</v>
      </c>
      <c r="V159" s="8">
        <f t="shared" si="19"/>
        <v>0.36578773772336698</v>
      </c>
      <c r="W159" s="11">
        <f t="shared" si="20"/>
        <v>0.34280345273455054</v>
      </c>
      <c r="X159" s="23">
        <f t="shared" si="22"/>
        <v>0.6421301511934232</v>
      </c>
      <c r="Y159" s="23">
        <f t="shared" si="22"/>
        <v>0.67632249465708993</v>
      </c>
      <c r="Z159" s="23">
        <f t="shared" si="22"/>
        <v>0.63382574761385846</v>
      </c>
    </row>
    <row r="160" spans="1:26" x14ac:dyDescent="0.3">
      <c r="A160" s="69" t="s">
        <v>321</v>
      </c>
      <c r="B160" s="11" t="s">
        <v>171</v>
      </c>
      <c r="C160" s="8" t="s">
        <v>172</v>
      </c>
      <c r="D160" s="23" t="s">
        <v>173</v>
      </c>
      <c r="E160" s="23" t="s">
        <v>120</v>
      </c>
      <c r="F160" s="8">
        <v>5</v>
      </c>
      <c r="G160" s="11" t="s">
        <v>453</v>
      </c>
      <c r="H160" s="23">
        <v>5.4800000041723251</v>
      </c>
      <c r="I160" s="8">
        <v>4.9287500791251659</v>
      </c>
      <c r="J160" s="11">
        <v>5.6350000202655792</v>
      </c>
      <c r="K160" s="23">
        <v>13.098750077188015</v>
      </c>
      <c r="L160" s="8">
        <v>11.901249922811985</v>
      </c>
      <c r="M160" s="11">
        <v>12.735000066459179</v>
      </c>
      <c r="N160" s="23">
        <v>13.684999942779541</v>
      </c>
      <c r="O160" s="8">
        <v>14.162500016391277</v>
      </c>
      <c r="P160" s="11">
        <v>14.007500186562538</v>
      </c>
      <c r="Q160" s="48">
        <v>263.23138842975209</v>
      </c>
      <c r="R160" s="8">
        <v>258.16991046831953</v>
      </c>
      <c r="S160" s="20">
        <v>253.14168181818181</v>
      </c>
      <c r="T160" s="69">
        <f t="shared" si="17"/>
        <v>72</v>
      </c>
      <c r="U160" s="23">
        <f t="shared" si="18"/>
        <v>0.41866492807613348</v>
      </c>
      <c r="V160" s="8">
        <f t="shared" si="19"/>
        <v>0.45193066579619406</v>
      </c>
      <c r="W160" s="11">
        <f t="shared" si="20"/>
        <v>0.41411739382464746</v>
      </c>
      <c r="X160" s="23">
        <f t="shared" si="22"/>
        <v>0.77408966835301762</v>
      </c>
      <c r="Y160" s="23">
        <f t="shared" si="22"/>
        <v>0.83559628653947693</v>
      </c>
      <c r="Z160" s="23">
        <f t="shared" si="22"/>
        <v>0.7656815141359139</v>
      </c>
    </row>
    <row r="161" spans="1:26" x14ac:dyDescent="0.3">
      <c r="A161" s="69" t="s">
        <v>321</v>
      </c>
      <c r="B161" s="11" t="s">
        <v>175</v>
      </c>
      <c r="C161" s="8" t="s">
        <v>176</v>
      </c>
      <c r="D161" s="23" t="s">
        <v>177</v>
      </c>
      <c r="E161" s="23" t="s">
        <v>30</v>
      </c>
      <c r="F161" s="8">
        <v>5</v>
      </c>
      <c r="G161" s="64" t="s">
        <v>454</v>
      </c>
      <c r="H161" s="23">
        <v>5.4837499745190144</v>
      </c>
      <c r="I161" s="8">
        <v>6.1700000427663326</v>
      </c>
      <c r="J161" s="11">
        <v>5.3712500259280205</v>
      </c>
      <c r="K161" s="23">
        <v>11.330000124871731</v>
      </c>
      <c r="L161" s="8">
        <v>10.819999873638153</v>
      </c>
      <c r="M161" s="11">
        <v>11.222499795258045</v>
      </c>
      <c r="N161" s="23">
        <v>12.719999812543392</v>
      </c>
      <c r="O161" s="8">
        <v>12.482500076293945</v>
      </c>
      <c r="P161" s="11">
        <v>12.868749909102917</v>
      </c>
      <c r="Q161" s="48">
        <v>324.05961157024791</v>
      </c>
      <c r="R161" s="8">
        <v>300.37205647382922</v>
      </c>
      <c r="S161" s="20">
        <v>285.42266666666666</v>
      </c>
      <c r="T161" s="69">
        <f t="shared" si="17"/>
        <v>72</v>
      </c>
      <c r="U161" s="23">
        <f t="shared" si="18"/>
        <v>0.59587306560510123</v>
      </c>
      <c r="V161" s="8">
        <f t="shared" si="19"/>
        <v>0.57835039275596423</v>
      </c>
      <c r="W161" s="11">
        <f t="shared" si="20"/>
        <v>0.52985570630779677</v>
      </c>
      <c r="X161" s="23">
        <f t="shared" si="22"/>
        <v>1.1017382942830825</v>
      </c>
      <c r="Y161" s="23">
        <f t="shared" si="22"/>
        <v>1.0693397839116088</v>
      </c>
      <c r="Z161" s="23">
        <f t="shared" si="22"/>
        <v>0.97967563190812634</v>
      </c>
    </row>
    <row r="162" spans="1:26" x14ac:dyDescent="0.3">
      <c r="A162" s="69" t="s">
        <v>321</v>
      </c>
      <c r="B162" s="11" t="s">
        <v>179</v>
      </c>
      <c r="C162" s="8" t="s">
        <v>180</v>
      </c>
      <c r="D162" s="23" t="s">
        <v>181</v>
      </c>
      <c r="E162" s="23" t="s">
        <v>30</v>
      </c>
      <c r="F162" s="8">
        <v>5</v>
      </c>
      <c r="G162" s="11" t="s">
        <v>455</v>
      </c>
      <c r="H162" s="23">
        <v>4.9675000831484795</v>
      </c>
      <c r="I162" s="8">
        <v>5.5462499149143696</v>
      </c>
      <c r="J162" s="11">
        <v>4.9137499183416367</v>
      </c>
      <c r="K162" s="23">
        <v>9.9425001069903374</v>
      </c>
      <c r="L162" s="8">
        <v>9.6025001257658005</v>
      </c>
      <c r="M162" s="11">
        <v>9.6812499687075615</v>
      </c>
      <c r="N162" s="23">
        <v>12.319999933242798</v>
      </c>
      <c r="O162" s="8">
        <v>11.947500146925449</v>
      </c>
      <c r="P162" s="11">
        <v>12.257500179111958</v>
      </c>
      <c r="Q162" s="48">
        <v>305.68698484848488</v>
      </c>
      <c r="R162" s="8">
        <v>269.76603994490364</v>
      </c>
      <c r="S162" s="20">
        <v>243.43107438016531</v>
      </c>
      <c r="T162" s="69">
        <f t="shared" si="17"/>
        <v>72</v>
      </c>
      <c r="U162" s="23">
        <f t="shared" si="18"/>
        <v>0.64053093110178339</v>
      </c>
      <c r="V162" s="8">
        <f t="shared" si="19"/>
        <v>0.5852773505417983</v>
      </c>
      <c r="W162" s="11">
        <f t="shared" si="20"/>
        <v>0.52384565346890655</v>
      </c>
      <c r="X162" s="23">
        <f t="shared" si="22"/>
        <v>1.1843083639818608</v>
      </c>
      <c r="Y162" s="23">
        <f t="shared" si="22"/>
        <v>1.0821473684393403</v>
      </c>
      <c r="Z162" s="23">
        <f t="shared" si="22"/>
        <v>0.96856335691958317</v>
      </c>
    </row>
    <row r="163" spans="1:26" x14ac:dyDescent="0.3">
      <c r="A163" s="69" t="s">
        <v>321</v>
      </c>
      <c r="B163" s="11" t="s">
        <v>183</v>
      </c>
      <c r="C163" s="8" t="s">
        <v>184</v>
      </c>
      <c r="D163" s="23" t="s">
        <v>185</v>
      </c>
      <c r="E163" s="23" t="s">
        <v>30</v>
      </c>
      <c r="F163" s="8">
        <v>5</v>
      </c>
      <c r="G163" s="64" t="s">
        <v>456</v>
      </c>
      <c r="H163" s="23">
        <v>4.8062500543892384</v>
      </c>
      <c r="I163" s="8">
        <v>5.4024999029934406</v>
      </c>
      <c r="J163" s="11">
        <v>4.9012499861419201</v>
      </c>
      <c r="K163" s="23">
        <v>10.357500053942204</v>
      </c>
      <c r="L163" s="8">
        <v>9.7287498414516449</v>
      </c>
      <c r="M163" s="11">
        <v>10.062499903142452</v>
      </c>
      <c r="N163" s="23">
        <v>10.466249845921993</v>
      </c>
      <c r="O163" s="8">
        <v>10.447500087320805</v>
      </c>
      <c r="P163" s="11">
        <v>10.957499966025352</v>
      </c>
      <c r="Q163" s="48">
        <v>287.99859366391183</v>
      </c>
      <c r="R163" s="8">
        <v>273.0208484848485</v>
      </c>
      <c r="S163" s="20">
        <v>248.02887465564737</v>
      </c>
      <c r="T163" s="69">
        <f t="shared" si="17"/>
        <v>72</v>
      </c>
      <c r="U163" s="23">
        <f t="shared" si="18"/>
        <v>0.57928753754124551</v>
      </c>
      <c r="V163" s="8">
        <f t="shared" si="19"/>
        <v>0.58465213271283334</v>
      </c>
      <c r="W163" s="11">
        <f t="shared" si="20"/>
        <v>0.51351734377447789</v>
      </c>
      <c r="X163" s="23">
        <f t="shared" si="22"/>
        <v>1.0710725158587788</v>
      </c>
      <c r="Y163" s="23">
        <f t="shared" si="22"/>
        <v>1.0809913732044496</v>
      </c>
      <c r="Z163" s="23">
        <f t="shared" si="22"/>
        <v>0.94946684968945361</v>
      </c>
    </row>
    <row r="164" spans="1:26" x14ac:dyDescent="0.3">
      <c r="A164" s="69" t="s">
        <v>321</v>
      </c>
      <c r="B164" s="11" t="s">
        <v>187</v>
      </c>
      <c r="C164" s="8" t="s">
        <v>188</v>
      </c>
      <c r="D164" s="23" t="s">
        <v>189</v>
      </c>
      <c r="E164" s="23" t="s">
        <v>30</v>
      </c>
      <c r="F164" s="8">
        <v>5</v>
      </c>
      <c r="G164" s="11" t="s">
        <v>457</v>
      </c>
      <c r="H164" s="23">
        <v>3.1500000040978193</v>
      </c>
      <c r="I164" s="8">
        <v>3.4812500700354576</v>
      </c>
      <c r="J164" s="11">
        <v>3.3812499605119228</v>
      </c>
      <c r="K164" s="23">
        <v>7.5837498530745506</v>
      </c>
      <c r="L164" s="8">
        <v>6.8937499076128006</v>
      </c>
      <c r="M164" s="11">
        <v>7.2237499058246613</v>
      </c>
      <c r="N164" s="23">
        <v>8.9937500655651093</v>
      </c>
      <c r="O164" s="8">
        <v>8.424999937415123</v>
      </c>
      <c r="P164" s="11">
        <v>8.6625000461935997</v>
      </c>
      <c r="Q164" s="48">
        <v>251.89287190082644</v>
      </c>
      <c r="R164" s="8">
        <v>243.92686225895312</v>
      </c>
      <c r="S164" s="20">
        <v>213.9823209366391</v>
      </c>
      <c r="T164" s="69">
        <f t="shared" si="17"/>
        <v>72</v>
      </c>
      <c r="U164" s="23">
        <f t="shared" si="18"/>
        <v>0.69197537712468682</v>
      </c>
      <c r="V164" s="8">
        <f t="shared" si="19"/>
        <v>0.73716187829543844</v>
      </c>
      <c r="W164" s="11">
        <f t="shared" si="20"/>
        <v>0.61712615713879626</v>
      </c>
      <c r="X164" s="23">
        <f t="shared" si="22"/>
        <v>1.2794264679593508</v>
      </c>
      <c r="Y164" s="23">
        <f t="shared" si="22"/>
        <v>1.3629739575139084</v>
      </c>
      <c r="Z164" s="23">
        <f t="shared" si="22"/>
        <v>1.1410341547039549</v>
      </c>
    </row>
    <row r="165" spans="1:26" x14ac:dyDescent="0.3">
      <c r="A165" s="69" t="s">
        <v>321</v>
      </c>
      <c r="B165" s="11" t="s">
        <v>191</v>
      </c>
      <c r="C165" s="8" t="s">
        <v>192</v>
      </c>
      <c r="D165" s="23" t="s">
        <v>193</v>
      </c>
      <c r="E165" s="23" t="s">
        <v>30</v>
      </c>
      <c r="F165" s="8">
        <v>5</v>
      </c>
      <c r="G165" s="64" t="s">
        <v>458</v>
      </c>
      <c r="H165" s="23">
        <v>5.514999944716692</v>
      </c>
      <c r="I165" s="8">
        <v>5.9987500309944153</v>
      </c>
      <c r="J165" s="11">
        <v>5.6537500582635403</v>
      </c>
      <c r="K165" s="23">
        <v>10.682500153779984</v>
      </c>
      <c r="L165" s="8">
        <v>10.551250167191029</v>
      </c>
      <c r="M165" s="11">
        <v>10.610000044107437</v>
      </c>
      <c r="N165" s="23">
        <v>11.972500011324883</v>
      </c>
      <c r="O165" s="8">
        <v>11.816249787807465</v>
      </c>
      <c r="P165" s="11">
        <v>12.078750133514404</v>
      </c>
      <c r="Q165" s="48">
        <v>242.28592011019285</v>
      </c>
      <c r="R165" s="8">
        <v>255.35000137741048</v>
      </c>
      <c r="S165" s="20">
        <v>246.964787878788</v>
      </c>
      <c r="T165" s="69">
        <f t="shared" si="17"/>
        <v>72</v>
      </c>
      <c r="U165" s="23">
        <f t="shared" si="18"/>
        <v>0.47251329398230107</v>
      </c>
      <c r="V165" s="8">
        <f t="shared" si="19"/>
        <v>0.50418591267076007</v>
      </c>
      <c r="W165" s="11">
        <f t="shared" si="20"/>
        <v>0.48492928615322922</v>
      </c>
      <c r="X165" s="23">
        <f t="shared" si="22"/>
        <v>0.87365249511570542</v>
      </c>
      <c r="Y165" s="23">
        <f t="shared" si="22"/>
        <v>0.93221351910470873</v>
      </c>
      <c r="Z165" s="23">
        <f t="shared" si="22"/>
        <v>0.89660901862015252</v>
      </c>
    </row>
    <row r="166" spans="1:26" x14ac:dyDescent="0.3">
      <c r="A166" s="69" t="s">
        <v>321</v>
      </c>
      <c r="B166" s="11" t="s">
        <v>195</v>
      </c>
      <c r="C166" s="8" t="s">
        <v>196</v>
      </c>
      <c r="D166" s="23" t="s">
        <v>195</v>
      </c>
      <c r="E166" s="23" t="s">
        <v>30</v>
      </c>
      <c r="F166" s="8">
        <v>5</v>
      </c>
      <c r="G166" s="11" t="s">
        <v>459</v>
      </c>
      <c r="H166" s="23">
        <v>5.6062500923871994</v>
      </c>
      <c r="I166" s="8">
        <v>6.2637500464916229</v>
      </c>
      <c r="J166" s="11">
        <v>5.4787499830126762</v>
      </c>
      <c r="K166" s="23">
        <v>11.774999834597111</v>
      </c>
      <c r="L166" s="8">
        <v>11.118750087916851</v>
      </c>
      <c r="M166" s="11">
        <v>10.77250000089407</v>
      </c>
      <c r="N166" s="23">
        <v>12.612499855458736</v>
      </c>
      <c r="O166" s="8">
        <v>12.14624997228384</v>
      </c>
      <c r="P166" s="11">
        <v>12.553749792277813</v>
      </c>
      <c r="Q166" s="48">
        <v>299.55193388429745</v>
      </c>
      <c r="R166" s="8">
        <v>282.15131542699726</v>
      </c>
      <c r="S166" s="20">
        <v>284.98176859504099</v>
      </c>
      <c r="T166" s="69">
        <f t="shared" si="17"/>
        <v>72</v>
      </c>
      <c r="U166" s="23">
        <f t="shared" si="18"/>
        <v>0.52999281332641524</v>
      </c>
      <c r="V166" s="8">
        <f t="shared" si="19"/>
        <v>0.52867025144463953</v>
      </c>
      <c r="W166" s="11">
        <f t="shared" si="20"/>
        <v>0.55113670722400554</v>
      </c>
      <c r="X166" s="23">
        <f t="shared" si="22"/>
        <v>0.97992913565170225</v>
      </c>
      <c r="Y166" s="23">
        <f t="shared" si="22"/>
        <v>0.9774837875468475</v>
      </c>
      <c r="Z166" s="23">
        <f t="shared" si="22"/>
        <v>1.0190230953251065</v>
      </c>
    </row>
    <row r="167" spans="1:26" x14ac:dyDescent="0.3">
      <c r="A167" s="69" t="s">
        <v>321</v>
      </c>
      <c r="B167" s="11" t="s">
        <v>198</v>
      </c>
      <c r="C167" s="8" t="s">
        <v>199</v>
      </c>
      <c r="D167" s="23" t="s">
        <v>200</v>
      </c>
      <c r="E167" s="23" t="s">
        <v>30</v>
      </c>
      <c r="F167" s="8">
        <v>5</v>
      </c>
      <c r="G167" s="64" t="s">
        <v>460</v>
      </c>
      <c r="H167" s="23">
        <v>5.677499994635582</v>
      </c>
      <c r="I167" s="8">
        <v>6.3050001859664917</v>
      </c>
      <c r="J167" s="11">
        <v>5.9299998916685581</v>
      </c>
      <c r="K167" s="23">
        <v>11.512500047683716</v>
      </c>
      <c r="L167" s="8">
        <v>11.356250010430813</v>
      </c>
      <c r="M167" s="11">
        <v>11.599999852478504</v>
      </c>
      <c r="N167" s="23">
        <v>13.504999876022339</v>
      </c>
      <c r="O167" s="8">
        <v>14.031249657273293</v>
      </c>
      <c r="P167" s="11">
        <v>14.292499795556068</v>
      </c>
      <c r="Q167" s="48">
        <v>337.21627410468301</v>
      </c>
      <c r="R167" s="8">
        <v>330.91161157024794</v>
      </c>
      <c r="S167" s="20">
        <v>332.74324793388433</v>
      </c>
      <c r="T167" s="69">
        <f t="shared" si="17"/>
        <v>72</v>
      </c>
      <c r="U167" s="23">
        <f t="shared" si="18"/>
        <v>0.61023574503793743</v>
      </c>
      <c r="V167" s="8">
        <f t="shared" si="19"/>
        <v>0.60706588014364848</v>
      </c>
      <c r="W167" s="11">
        <f t="shared" si="20"/>
        <v>0.59759923161907957</v>
      </c>
      <c r="X167" s="23">
        <f t="shared" si="22"/>
        <v>1.1282941412462251</v>
      </c>
      <c r="Y167" s="23">
        <f t="shared" si="22"/>
        <v>1.1224332259887193</v>
      </c>
      <c r="Z167" s="23">
        <f t="shared" si="22"/>
        <v>1.1049298854283522</v>
      </c>
    </row>
    <row r="168" spans="1:26" x14ac:dyDescent="0.3">
      <c r="A168" s="69" t="s">
        <v>321</v>
      </c>
      <c r="B168" s="23" t="s">
        <v>202</v>
      </c>
      <c r="C168" s="8" t="s">
        <v>203</v>
      </c>
      <c r="D168" s="11" t="s">
        <v>204</v>
      </c>
      <c r="E168" s="23" t="s">
        <v>30</v>
      </c>
      <c r="F168" s="8">
        <v>5</v>
      </c>
      <c r="G168" s="11" t="s">
        <v>461</v>
      </c>
      <c r="H168" s="23">
        <v>2.6049999985843897</v>
      </c>
      <c r="I168" s="8">
        <v>2.7012499514967203</v>
      </c>
      <c r="J168" s="11">
        <v>2.6087500620633364</v>
      </c>
      <c r="K168" s="23">
        <v>5.3062500432133675</v>
      </c>
      <c r="L168" s="8">
        <v>5.103749968111515</v>
      </c>
      <c r="M168" s="11">
        <v>5.0412500277161598</v>
      </c>
      <c r="N168" s="23">
        <v>6.7250000312924385</v>
      </c>
      <c r="O168" s="8">
        <v>6.3287497498095036</v>
      </c>
      <c r="P168" s="11">
        <v>6.3649998046457767</v>
      </c>
      <c r="Q168" s="48">
        <v>131.69001239669421</v>
      </c>
      <c r="R168" s="8">
        <v>140.34102479338841</v>
      </c>
      <c r="S168" s="20">
        <v>135.45960055096401</v>
      </c>
      <c r="T168" s="69">
        <f t="shared" si="17"/>
        <v>72</v>
      </c>
      <c r="U168" s="23">
        <f t="shared" si="18"/>
        <v>0.51703969895653301</v>
      </c>
      <c r="V168" s="8">
        <f t="shared" si="19"/>
        <v>0.57286727761550393</v>
      </c>
      <c r="W168" s="11">
        <f t="shared" si="20"/>
        <v>0.55979667661056343</v>
      </c>
      <c r="X168" s="23">
        <f t="shared" si="22"/>
        <v>0.9559795011485287</v>
      </c>
      <c r="Y168" s="23">
        <f t="shared" si="22"/>
        <v>1.0592017893102352</v>
      </c>
      <c r="Z168" s="23">
        <f t="shared" si="22"/>
        <v>1.0350349281318154</v>
      </c>
    </row>
    <row r="169" spans="1:26" x14ac:dyDescent="0.3">
      <c r="A169" s="69" t="s">
        <v>321</v>
      </c>
      <c r="B169" s="23" t="s">
        <v>206</v>
      </c>
      <c r="C169" s="8" t="s">
        <v>207</v>
      </c>
      <c r="D169" s="11" t="s">
        <v>208</v>
      </c>
      <c r="E169" s="23" t="s">
        <v>30</v>
      </c>
      <c r="F169" s="8">
        <v>5</v>
      </c>
      <c r="G169" s="64" t="s">
        <v>462</v>
      </c>
      <c r="H169" s="23">
        <v>5.9124999679625034</v>
      </c>
      <c r="I169" s="8">
        <v>6.8962499499320984</v>
      </c>
      <c r="J169" s="11">
        <v>5.9500000439584255</v>
      </c>
      <c r="K169" s="23">
        <v>11.353749968111515</v>
      </c>
      <c r="L169" s="8">
        <v>11.927499994635582</v>
      </c>
      <c r="M169" s="11">
        <v>11.391249857842922</v>
      </c>
      <c r="N169" s="23">
        <v>14.156249910593033</v>
      </c>
      <c r="O169" s="8">
        <v>14.357499405741692</v>
      </c>
      <c r="P169" s="11">
        <v>14.729999750852585</v>
      </c>
      <c r="Q169" s="48">
        <v>342.27247658402206</v>
      </c>
      <c r="R169" s="8">
        <v>354.89978099173555</v>
      </c>
      <c r="S169" s="20">
        <v>334.97968732782368</v>
      </c>
      <c r="T169" s="69">
        <f t="shared" si="17"/>
        <v>72</v>
      </c>
      <c r="U169" s="23">
        <f t="shared" si="18"/>
        <v>0.62804594213611298</v>
      </c>
      <c r="V169" s="8">
        <f t="shared" si="19"/>
        <v>0.61989062591936084</v>
      </c>
      <c r="W169" s="11">
        <f t="shared" si="20"/>
        <v>0.61264071748820725</v>
      </c>
      <c r="X169" s="23">
        <f t="shared" si="22"/>
        <v>1.1612242689939247</v>
      </c>
      <c r="Y169" s="23">
        <f t="shared" si="22"/>
        <v>1.1461455136404513</v>
      </c>
      <c r="Z169" s="23">
        <f t="shared" si="22"/>
        <v>1.1327408101730501</v>
      </c>
    </row>
    <row r="170" spans="1:26" x14ac:dyDescent="0.3">
      <c r="A170" s="69" t="s">
        <v>321</v>
      </c>
      <c r="B170" s="23" t="s">
        <v>210</v>
      </c>
      <c r="C170" s="8" t="s">
        <v>211</v>
      </c>
      <c r="D170" s="11" t="s">
        <v>211</v>
      </c>
      <c r="E170" s="23" t="s">
        <v>30</v>
      </c>
      <c r="F170" s="8">
        <v>5</v>
      </c>
      <c r="G170" s="11" t="s">
        <v>463</v>
      </c>
      <c r="H170" s="23">
        <v>4.7399998642504215</v>
      </c>
      <c r="I170" s="8">
        <v>5.3487500175833702</v>
      </c>
      <c r="J170" s="11">
        <v>4.7799999825656414</v>
      </c>
      <c r="K170" s="23">
        <v>9.7012501209974289</v>
      </c>
      <c r="L170" s="8">
        <v>9.2737499624490738</v>
      </c>
      <c r="M170" s="11">
        <v>9.2000000178813934</v>
      </c>
      <c r="N170" s="23">
        <v>11.076249927282333</v>
      </c>
      <c r="O170" s="8">
        <v>10.501250065863132</v>
      </c>
      <c r="P170" s="11">
        <v>10.941249877214432</v>
      </c>
      <c r="Q170" s="48">
        <v>282.31534848484847</v>
      </c>
      <c r="R170" s="8">
        <v>272.2436611570248</v>
      </c>
      <c r="S170" s="20">
        <v>265.42200275482094</v>
      </c>
      <c r="T170" s="69">
        <f t="shared" si="17"/>
        <v>72</v>
      </c>
      <c r="U170" s="23">
        <f t="shared" si="18"/>
        <v>0.60626926290364513</v>
      </c>
      <c r="V170" s="8">
        <f t="shared" si="19"/>
        <v>0.6115911000120946</v>
      </c>
      <c r="W170" s="11">
        <f t="shared" si="20"/>
        <v>0.60104620072223469</v>
      </c>
      <c r="X170" s="23">
        <f t="shared" si="22"/>
        <v>1.1209603221609443</v>
      </c>
      <c r="Y170" s="23">
        <f t="shared" si="22"/>
        <v>1.1308001220726276</v>
      </c>
      <c r="Z170" s="23">
        <f t="shared" si="22"/>
        <v>1.1113031519499732</v>
      </c>
    </row>
    <row r="171" spans="1:26" x14ac:dyDescent="0.3">
      <c r="A171" s="69" t="s">
        <v>321</v>
      </c>
      <c r="B171" s="23" t="s">
        <v>213</v>
      </c>
      <c r="C171" s="8" t="s">
        <v>214</v>
      </c>
      <c r="D171" s="11" t="s">
        <v>215</v>
      </c>
      <c r="E171" s="23" t="s">
        <v>30</v>
      </c>
      <c r="F171" s="8">
        <v>5</v>
      </c>
      <c r="G171" s="64" t="s">
        <v>464</v>
      </c>
      <c r="H171" s="23">
        <v>5.5724999867379665</v>
      </c>
      <c r="I171" s="8">
        <v>6.2774999067187309</v>
      </c>
      <c r="J171" s="11">
        <v>5.7349999435245991</v>
      </c>
      <c r="K171" s="23">
        <v>11.221249960362911</v>
      </c>
      <c r="L171" s="8">
        <v>11.242500133812428</v>
      </c>
      <c r="M171" s="11">
        <v>10.864999890327454</v>
      </c>
      <c r="N171" s="23">
        <v>12.60875016450882</v>
      </c>
      <c r="O171" s="8">
        <v>12.847499921917915</v>
      </c>
      <c r="P171" s="11">
        <v>12.742500007152557</v>
      </c>
      <c r="Q171" s="48">
        <v>285.84744765840225</v>
      </c>
      <c r="R171" s="8">
        <v>281.46903719008264</v>
      </c>
      <c r="S171" s="20">
        <v>281.09726859504133</v>
      </c>
      <c r="T171" s="69">
        <f t="shared" si="17"/>
        <v>72</v>
      </c>
      <c r="U171" s="23">
        <f t="shared" si="18"/>
        <v>0.53070336910643501</v>
      </c>
      <c r="V171" s="8">
        <f t="shared" si="19"/>
        <v>0.52158667600610265</v>
      </c>
      <c r="W171" s="11">
        <f t="shared" si="20"/>
        <v>0.53899614862798961</v>
      </c>
      <c r="X171" s="23">
        <f t="shared" si="22"/>
        <v>0.98124291631785299</v>
      </c>
      <c r="Y171" s="23">
        <f t="shared" si="22"/>
        <v>0.96438662512828099</v>
      </c>
      <c r="Z171" s="23">
        <f t="shared" si="22"/>
        <v>0.99657583416951878</v>
      </c>
    </row>
    <row r="172" spans="1:26" x14ac:dyDescent="0.3">
      <c r="A172" s="69" t="s">
        <v>321</v>
      </c>
      <c r="B172" s="23" t="s">
        <v>217</v>
      </c>
      <c r="C172" s="8" t="s">
        <v>218</v>
      </c>
      <c r="D172" s="11" t="s">
        <v>219</v>
      </c>
      <c r="E172" s="23" t="s">
        <v>30</v>
      </c>
      <c r="F172" s="8">
        <v>5</v>
      </c>
      <c r="G172" s="11" t="s">
        <v>465</v>
      </c>
      <c r="H172" s="23">
        <v>5.4962499998509884</v>
      </c>
      <c r="I172" s="8">
        <v>6.327500194311142</v>
      </c>
      <c r="J172" s="11">
        <v>5.449999962002039</v>
      </c>
      <c r="K172" s="23">
        <v>9.7362499684095383</v>
      </c>
      <c r="L172" s="8">
        <v>9.9425001069903374</v>
      </c>
      <c r="M172" s="11">
        <v>9.7987500950694084</v>
      </c>
      <c r="N172" s="23">
        <v>12.252500094473362</v>
      </c>
      <c r="O172" s="8">
        <v>12.444999814033508</v>
      </c>
      <c r="P172" s="11">
        <v>12.351249717175961</v>
      </c>
      <c r="Q172" s="48">
        <v>336.54262809917356</v>
      </c>
      <c r="R172" s="8">
        <v>340.50720798898072</v>
      </c>
      <c r="S172" s="20">
        <v>334.27505234159781</v>
      </c>
      <c r="T172" s="69">
        <f t="shared" si="17"/>
        <v>72</v>
      </c>
      <c r="U172" s="23">
        <f t="shared" si="18"/>
        <v>0.72012374115446465</v>
      </c>
      <c r="V172" s="8">
        <f t="shared" si="19"/>
        <v>0.7134925914106397</v>
      </c>
      <c r="W172" s="11">
        <f t="shared" si="20"/>
        <v>0.71070937853126515</v>
      </c>
      <c r="X172" s="23">
        <f t="shared" si="22"/>
        <v>1.3314713284558297</v>
      </c>
      <c r="Y172" s="23">
        <f t="shared" si="22"/>
        <v>1.3192106776065109</v>
      </c>
      <c r="Z172" s="23">
        <f t="shared" si="22"/>
        <v>1.3140646618065939</v>
      </c>
    </row>
    <row r="173" spans="1:26" x14ac:dyDescent="0.3">
      <c r="A173" s="69" t="s">
        <v>321</v>
      </c>
      <c r="B173" s="23" t="s">
        <v>221</v>
      </c>
      <c r="C173" s="8" t="s">
        <v>222</v>
      </c>
      <c r="D173" s="11" t="s">
        <v>223</v>
      </c>
      <c r="E173" s="23" t="s">
        <v>30</v>
      </c>
      <c r="F173" s="8">
        <v>5</v>
      </c>
      <c r="G173" s="64" t="s">
        <v>466</v>
      </c>
      <c r="H173" s="23">
        <v>4.6175000257790089</v>
      </c>
      <c r="I173" s="8">
        <v>5.097499955445528</v>
      </c>
      <c r="J173" s="11">
        <v>2.8050000313669443</v>
      </c>
      <c r="K173" s="23">
        <v>9.531250037252903</v>
      </c>
      <c r="L173" s="8">
        <v>8.5137499496340752</v>
      </c>
      <c r="M173" s="11">
        <v>8.6037501692771912</v>
      </c>
      <c r="N173" s="23">
        <v>11.094999872148037</v>
      </c>
      <c r="O173" s="8">
        <v>10.415000095963478</v>
      </c>
      <c r="P173" s="11">
        <v>11.531249992549419</v>
      </c>
      <c r="Q173" s="48">
        <v>308.77175344352622</v>
      </c>
      <c r="R173" s="8">
        <v>310.00012121212114</v>
      </c>
      <c r="S173" s="20">
        <v>300.65948484848479</v>
      </c>
      <c r="T173" s="69">
        <f t="shared" si="17"/>
        <v>72</v>
      </c>
      <c r="U173" s="23">
        <f t="shared" si="18"/>
        <v>0.67491093385069167</v>
      </c>
      <c r="V173" s="8">
        <f t="shared" si="19"/>
        <v>0.75857711311611153</v>
      </c>
      <c r="W173" s="11">
        <f t="shared" si="20"/>
        <v>0.72802430852115141</v>
      </c>
      <c r="X173" s="23">
        <f t="shared" si="22"/>
        <v>1.2478752002300566</v>
      </c>
      <c r="Y173" s="23">
        <f t="shared" si="22"/>
        <v>1.4025696124358853</v>
      </c>
      <c r="Z173" s="23">
        <f t="shared" si="22"/>
        <v>1.3460790664404338</v>
      </c>
    </row>
    <row r="174" spans="1:26" x14ac:dyDescent="0.3">
      <c r="A174" s="69" t="s">
        <v>321</v>
      </c>
      <c r="B174" s="23" t="s">
        <v>225</v>
      </c>
      <c r="C174" s="8" t="s">
        <v>226</v>
      </c>
      <c r="D174" s="11" t="s">
        <v>227</v>
      </c>
      <c r="E174" s="23" t="s">
        <v>30</v>
      </c>
      <c r="F174" s="8">
        <v>5</v>
      </c>
      <c r="G174" s="11" t="s">
        <v>467</v>
      </c>
      <c r="H174" s="23">
        <v>4.7275000251829624</v>
      </c>
      <c r="I174" s="8">
        <v>5.032499972730875</v>
      </c>
      <c r="J174" s="11">
        <v>4.6250000596046448</v>
      </c>
      <c r="K174" s="23">
        <v>9.7799999639391899</v>
      </c>
      <c r="L174" s="8">
        <v>9.2100000008940697</v>
      </c>
      <c r="M174" s="11">
        <v>9.5062501728534698</v>
      </c>
      <c r="N174" s="23">
        <v>10.297499969601631</v>
      </c>
      <c r="O174" s="8">
        <v>10.556250065565109</v>
      </c>
      <c r="P174" s="11">
        <v>10.513750091195107</v>
      </c>
      <c r="Q174" s="48">
        <v>259.84820936639119</v>
      </c>
      <c r="R174" s="8">
        <v>262.48518044077133</v>
      </c>
      <c r="S174" s="20">
        <v>251.34936501377408</v>
      </c>
      <c r="T174" s="69">
        <f t="shared" si="17"/>
        <v>72</v>
      </c>
      <c r="U174" s="23">
        <f t="shared" si="18"/>
        <v>0.55352805539473271</v>
      </c>
      <c r="V174" s="8">
        <f t="shared" si="19"/>
        <v>0.5937504081055246</v>
      </c>
      <c r="W174" s="11">
        <f t="shared" si="20"/>
        <v>0.55084234153726408</v>
      </c>
      <c r="X174" s="23">
        <f t="shared" si="22"/>
        <v>1.0234445736679454</v>
      </c>
      <c r="Y174" s="23">
        <f t="shared" si="22"/>
        <v>1.0978136110108894</v>
      </c>
      <c r="Z174" s="23">
        <f t="shared" si="22"/>
        <v>1.0184788284865363</v>
      </c>
    </row>
    <row r="175" spans="1:26" x14ac:dyDescent="0.3">
      <c r="A175" s="69" t="s">
        <v>321</v>
      </c>
      <c r="B175" s="23" t="s">
        <v>229</v>
      </c>
      <c r="C175" s="8" t="s">
        <v>230</v>
      </c>
      <c r="D175" s="11" t="s">
        <v>231</v>
      </c>
      <c r="E175" s="23" t="s">
        <v>30</v>
      </c>
      <c r="F175" s="8">
        <v>5</v>
      </c>
      <c r="G175" s="64" t="s">
        <v>468</v>
      </c>
      <c r="H175" s="23">
        <v>5.3700000047683716</v>
      </c>
      <c r="I175" s="8">
        <v>6.1337500810623169</v>
      </c>
      <c r="J175" s="11">
        <v>5.7575000450015068</v>
      </c>
      <c r="K175" s="23">
        <v>11.065000109374523</v>
      </c>
      <c r="L175" s="8">
        <v>12.605000101029873</v>
      </c>
      <c r="M175" s="11">
        <v>10.307499766349792</v>
      </c>
      <c r="N175" s="23">
        <v>13.770000264048576</v>
      </c>
      <c r="O175" s="8">
        <v>13.74875009059906</v>
      </c>
      <c r="P175" s="11">
        <v>13.677499815821648</v>
      </c>
      <c r="Q175" s="48">
        <v>322.06004407713499</v>
      </c>
      <c r="R175" s="8">
        <v>328.70017217630851</v>
      </c>
      <c r="S175" s="20">
        <v>311.2047520661157</v>
      </c>
      <c r="T175" s="69">
        <f t="shared" si="17"/>
        <v>72</v>
      </c>
      <c r="U175" s="23">
        <f t="shared" si="18"/>
        <v>0.60637904973199819</v>
      </c>
      <c r="V175" s="8">
        <f t="shared" si="19"/>
        <v>0.54327014667089091</v>
      </c>
      <c r="W175" s="11">
        <f t="shared" si="20"/>
        <v>0.62900145347339931</v>
      </c>
      <c r="X175" s="23">
        <f t="shared" si="22"/>
        <v>1.1211633122942231</v>
      </c>
      <c r="Y175" s="23">
        <f t="shared" si="22"/>
        <v>1.0044782341693803</v>
      </c>
      <c r="Z175" s="23">
        <f t="shared" si="22"/>
        <v>1.1629909597401176</v>
      </c>
    </row>
    <row r="176" spans="1:26" ht="15" thickBot="1" x14ac:dyDescent="0.35">
      <c r="A176" s="69" t="s">
        <v>321</v>
      </c>
      <c r="B176" s="23" t="s">
        <v>233</v>
      </c>
      <c r="C176" s="8" t="s">
        <v>234</v>
      </c>
      <c r="D176" s="11" t="s">
        <v>233</v>
      </c>
      <c r="E176" s="23" t="s">
        <v>30</v>
      </c>
      <c r="F176" s="8">
        <v>5</v>
      </c>
      <c r="G176" s="11" t="s">
        <v>469</v>
      </c>
      <c r="H176" s="23">
        <v>3.6049999296665192</v>
      </c>
      <c r="I176" s="8">
        <v>3.9137500338256359</v>
      </c>
      <c r="J176" s="11">
        <v>3.6287499591708183</v>
      </c>
      <c r="K176" s="23">
        <v>7.7624998986721039</v>
      </c>
      <c r="L176" s="8">
        <v>7.4512500315904617</v>
      </c>
      <c r="M176" s="11">
        <v>7.2850000113248825</v>
      </c>
      <c r="N176" s="23">
        <v>8.8862499222159386</v>
      </c>
      <c r="O176" s="8">
        <v>8.6587497964501381</v>
      </c>
      <c r="P176" s="11">
        <v>8.2499999552965164</v>
      </c>
      <c r="Q176" s="50">
        <v>243.56010881542699</v>
      </c>
      <c r="R176" s="9">
        <v>243.88767355371903</v>
      </c>
      <c r="S176" s="66">
        <v>236.52029063360882</v>
      </c>
      <c r="T176" s="69">
        <f t="shared" si="17"/>
        <v>72</v>
      </c>
      <c r="U176" s="23">
        <f t="shared" si="18"/>
        <v>0.65367716584740243</v>
      </c>
      <c r="V176" s="8">
        <f t="shared" si="19"/>
        <v>0.68189809461423756</v>
      </c>
      <c r="W176" s="11">
        <f t="shared" si="20"/>
        <v>0.67639067223154503</v>
      </c>
      <c r="X176" s="23">
        <f t="shared" si="22"/>
        <v>1.2086150680114771</v>
      </c>
      <c r="Y176" s="23">
        <f t="shared" si="22"/>
        <v>1.2607940969311411</v>
      </c>
      <c r="Z176" s="23">
        <f t="shared" si="22"/>
        <v>1.2506111595036162</v>
      </c>
    </row>
    <row r="177" spans="1:26" x14ac:dyDescent="0.3">
      <c r="A177" s="69" t="s">
        <v>321</v>
      </c>
      <c r="B177" s="23" t="s">
        <v>236</v>
      </c>
      <c r="C177" s="8" t="s">
        <v>237</v>
      </c>
      <c r="D177" s="11" t="s">
        <v>236</v>
      </c>
      <c r="E177" s="23" t="s">
        <v>30</v>
      </c>
      <c r="F177" s="8">
        <v>5</v>
      </c>
      <c r="G177" s="64" t="s">
        <v>470</v>
      </c>
      <c r="H177" s="23">
        <v>4.7887500375509262</v>
      </c>
      <c r="I177" s="8">
        <v>5.3849999792873859</v>
      </c>
      <c r="J177" s="11">
        <v>4.6787500381469727</v>
      </c>
      <c r="K177" s="23">
        <v>10.16750019043684</v>
      </c>
      <c r="L177" s="8">
        <v>9.6574999392032623</v>
      </c>
      <c r="M177" s="11">
        <v>9.2762500047683716</v>
      </c>
      <c r="N177" s="23">
        <v>10.633750073611736</v>
      </c>
      <c r="O177" s="8">
        <v>11.125000007450581</v>
      </c>
      <c r="P177" s="11">
        <v>10.747500136494637</v>
      </c>
      <c r="Q177" s="51">
        <v>293.21521212121212</v>
      </c>
      <c r="R177" s="13">
        <v>297.96632644628096</v>
      </c>
      <c r="S177" s="19">
        <v>284.01051790633608</v>
      </c>
      <c r="T177" s="69">
        <f t="shared" si="17"/>
        <v>72</v>
      </c>
      <c r="U177" s="23">
        <f t="shared" si="18"/>
        <v>0.60080158722503041</v>
      </c>
      <c r="V177" s="8">
        <f t="shared" si="19"/>
        <v>0.64277834222552555</v>
      </c>
      <c r="W177" s="11">
        <f t="shared" si="20"/>
        <v>0.63785320433082482</v>
      </c>
      <c r="X177" s="23">
        <f t="shared" si="22"/>
        <v>1.1108508743211885</v>
      </c>
      <c r="Y177" s="23">
        <f t="shared" si="22"/>
        <v>1.188463710214049</v>
      </c>
      <c r="Z177" s="23">
        <f t="shared" si="22"/>
        <v>1.1793573865078308</v>
      </c>
    </row>
    <row r="178" spans="1:26" x14ac:dyDescent="0.3">
      <c r="A178" s="69" t="s">
        <v>321</v>
      </c>
      <c r="B178" s="23" t="s">
        <v>239</v>
      </c>
      <c r="C178" s="8" t="s">
        <v>240</v>
      </c>
      <c r="D178" s="11" t="s">
        <v>241</v>
      </c>
      <c r="E178" s="23" t="s">
        <v>30</v>
      </c>
      <c r="F178" s="8">
        <v>5</v>
      </c>
      <c r="G178" s="11" t="s">
        <v>471</v>
      </c>
      <c r="H178" s="23">
        <v>5.8875000104308128</v>
      </c>
      <c r="I178" s="8">
        <v>6.4225003123283386</v>
      </c>
      <c r="J178" s="11">
        <v>5.8349999599158764</v>
      </c>
      <c r="K178" s="23">
        <v>11.608750000596046</v>
      </c>
      <c r="L178" s="8">
        <v>11.480000056326389</v>
      </c>
      <c r="M178" s="11">
        <v>11.143750138580799</v>
      </c>
      <c r="N178" s="23">
        <v>13.867500051856041</v>
      </c>
      <c r="O178" s="8">
        <v>14.206250384449959</v>
      </c>
      <c r="P178" s="11">
        <v>13.684999942779541</v>
      </c>
      <c r="Q178" s="48">
        <v>360.67323002754819</v>
      </c>
      <c r="R178" s="8">
        <v>415.11720661157028</v>
      </c>
      <c r="S178" s="20">
        <v>353.91071074380164</v>
      </c>
      <c r="T178" s="69">
        <f t="shared" si="17"/>
        <v>72</v>
      </c>
      <c r="U178" s="23">
        <f t="shared" si="18"/>
        <v>0.64727258535054299</v>
      </c>
      <c r="V178" s="8">
        <f t="shared" si="19"/>
        <v>0.75333406753558008</v>
      </c>
      <c r="W178" s="11">
        <f t="shared" si="20"/>
        <v>0.66163900980119539</v>
      </c>
      <c r="X178" s="23">
        <f t="shared" si="22"/>
        <v>1.1967733319111162</v>
      </c>
      <c r="Y178" s="23">
        <f t="shared" si="22"/>
        <v>1.3928754939597008</v>
      </c>
      <c r="Z178" s="23">
        <f t="shared" si="22"/>
        <v>1.2233361032173431</v>
      </c>
    </row>
    <row r="179" spans="1:26" x14ac:dyDescent="0.3">
      <c r="A179" s="69" t="s">
        <v>321</v>
      </c>
      <c r="B179" s="23" t="s">
        <v>243</v>
      </c>
      <c r="C179" s="8" t="s">
        <v>244</v>
      </c>
      <c r="D179" s="11" t="s">
        <v>245</v>
      </c>
      <c r="E179" s="23" t="s">
        <v>82</v>
      </c>
      <c r="F179" s="8">
        <v>5</v>
      </c>
      <c r="G179" s="64" t="s">
        <v>472</v>
      </c>
      <c r="H179" s="23">
        <v>5.4900000803172588</v>
      </c>
      <c r="I179" s="8">
        <v>5.6699999608099461</v>
      </c>
      <c r="J179" s="11">
        <v>5.0499999895691872</v>
      </c>
      <c r="K179" s="23">
        <v>10.907500050961971</v>
      </c>
      <c r="L179" s="8">
        <v>10.673750005662441</v>
      </c>
      <c r="M179" s="11">
        <v>10.209999978542328</v>
      </c>
      <c r="N179" s="23">
        <v>11.598749831318855</v>
      </c>
      <c r="O179" s="8">
        <v>11.426250077784061</v>
      </c>
      <c r="P179" s="11">
        <v>11.77624985575676</v>
      </c>
      <c r="Q179" s="48">
        <v>302.46978512396691</v>
      </c>
      <c r="R179" s="8">
        <v>304.64514187327825</v>
      </c>
      <c r="S179" s="20">
        <v>308.86848622589531</v>
      </c>
      <c r="T179" s="69">
        <f t="shared" si="17"/>
        <v>72</v>
      </c>
      <c r="U179" s="23">
        <f t="shared" si="18"/>
        <v>0.57771751797457593</v>
      </c>
      <c r="V179" s="8">
        <f t="shared" si="19"/>
        <v>0.59461518076211795</v>
      </c>
      <c r="W179" s="11">
        <f t="shared" si="20"/>
        <v>0.63024095428302218</v>
      </c>
      <c r="X179" s="23">
        <f t="shared" si="22"/>
        <v>1.0681696313700881</v>
      </c>
      <c r="Y179" s="23">
        <f t="shared" si="22"/>
        <v>1.0994125306577278</v>
      </c>
      <c r="Z179" s="23">
        <f t="shared" si="22"/>
        <v>1.1652827322443331</v>
      </c>
    </row>
    <row r="180" spans="1:26" x14ac:dyDescent="0.3">
      <c r="A180" s="69" t="s">
        <v>321</v>
      </c>
      <c r="B180" s="23" t="s">
        <v>247</v>
      </c>
      <c r="C180" s="8" t="s">
        <v>248</v>
      </c>
      <c r="D180" s="11" t="s">
        <v>249</v>
      </c>
      <c r="E180" s="23" t="s">
        <v>82</v>
      </c>
      <c r="F180" s="8">
        <v>5</v>
      </c>
      <c r="G180" s="11" t="s">
        <v>473</v>
      </c>
      <c r="H180" s="23">
        <v>5.7024999521672726</v>
      </c>
      <c r="I180" s="8">
        <v>6.3049999997019768</v>
      </c>
      <c r="J180" s="11">
        <v>5.6887499056756496</v>
      </c>
      <c r="K180" s="23">
        <v>11.731250211596489</v>
      </c>
      <c r="L180" s="8">
        <v>10.94874981790781</v>
      </c>
      <c r="M180" s="11">
        <v>10.569999925792217</v>
      </c>
      <c r="N180" s="23">
        <v>12.422499991953373</v>
      </c>
      <c r="O180" s="8">
        <v>12.256250157952309</v>
      </c>
      <c r="P180" s="11">
        <v>12.118749879300594</v>
      </c>
      <c r="Q180" s="48">
        <v>284.97244765840225</v>
      </c>
      <c r="R180" s="8">
        <v>283.46341046831958</v>
      </c>
      <c r="S180" s="20">
        <v>279.71026584022042</v>
      </c>
      <c r="T180" s="69">
        <f t="shared" si="17"/>
        <v>72</v>
      </c>
      <c r="U180" s="23">
        <f t="shared" si="18"/>
        <v>0.50607785920503623</v>
      </c>
      <c r="V180" s="8">
        <f t="shared" si="19"/>
        <v>0.53937552837593905</v>
      </c>
      <c r="W180" s="11">
        <f t="shared" si="20"/>
        <v>0.55130532127868848</v>
      </c>
      <c r="X180" s="23">
        <f t="shared" si="22"/>
        <v>0.93571162980624134</v>
      </c>
      <c r="Y180" s="23">
        <f t="shared" si="22"/>
        <v>0.99727728758387457</v>
      </c>
      <c r="Z180" s="23">
        <f t="shared" si="22"/>
        <v>1.0193348539390152</v>
      </c>
    </row>
    <row r="181" spans="1:26" x14ac:dyDescent="0.3">
      <c r="A181" s="69" t="s">
        <v>321</v>
      </c>
      <c r="B181" s="23" t="s">
        <v>251</v>
      </c>
      <c r="C181" s="8" t="s">
        <v>252</v>
      </c>
      <c r="D181" s="11" t="s">
        <v>253</v>
      </c>
      <c r="E181" s="23" t="s">
        <v>82</v>
      </c>
      <c r="F181" s="8">
        <v>5</v>
      </c>
      <c r="G181" s="64" t="s">
        <v>474</v>
      </c>
      <c r="H181" s="23">
        <v>4.8900000751018524</v>
      </c>
      <c r="I181" s="8">
        <v>5.4337499663233757</v>
      </c>
      <c r="J181" s="11">
        <v>4.9000000581145287</v>
      </c>
      <c r="K181" s="23">
        <v>6.6262500360608101</v>
      </c>
      <c r="L181" s="8">
        <v>6.7950000986456871</v>
      </c>
      <c r="M181" s="11">
        <v>6.3137500546872616</v>
      </c>
      <c r="N181" s="23">
        <v>6.335000041872263</v>
      </c>
      <c r="O181" s="8">
        <v>6.6712502390146255</v>
      </c>
      <c r="P181" s="11">
        <v>6.4287500455975533</v>
      </c>
      <c r="Q181" s="48">
        <v>72.918180440771366</v>
      </c>
      <c r="R181" s="8">
        <v>81.49481955922866</v>
      </c>
      <c r="S181" s="20">
        <v>52.427009641873276</v>
      </c>
      <c r="T181" s="69">
        <f t="shared" si="17"/>
        <v>72</v>
      </c>
      <c r="U181" s="23">
        <f t="shared" si="18"/>
        <v>0.22925919651619911</v>
      </c>
      <c r="V181" s="8">
        <f t="shared" si="19"/>
        <v>0.24986147404996426</v>
      </c>
      <c r="W181" s="11">
        <f t="shared" si="20"/>
        <v>0.17299217708628914</v>
      </c>
      <c r="X181" s="23">
        <f t="shared" si="22"/>
        <v>0.42388832571576612</v>
      </c>
      <c r="Y181" s="23">
        <f t="shared" si="22"/>
        <v>0.46198086491343443</v>
      </c>
      <c r="Z181" s="23">
        <f t="shared" si="22"/>
        <v>0.3198535344332461</v>
      </c>
    </row>
    <row r="182" spans="1:26" x14ac:dyDescent="0.3">
      <c r="A182" s="69" t="s">
        <v>321</v>
      </c>
      <c r="B182" s="23" t="s">
        <v>255</v>
      </c>
      <c r="C182" s="8">
        <v>0</v>
      </c>
      <c r="D182" s="11" t="s">
        <v>256</v>
      </c>
      <c r="E182" s="23" t="s">
        <v>82</v>
      </c>
      <c r="F182" s="8">
        <v>5</v>
      </c>
      <c r="G182" s="11" t="s">
        <v>475</v>
      </c>
      <c r="H182" s="23">
        <v>4.7624998725950718</v>
      </c>
      <c r="I182" s="8">
        <v>2.8337500058114529</v>
      </c>
      <c r="J182" s="11">
        <v>2.337499987334013</v>
      </c>
      <c r="K182" s="23">
        <v>9.3262501060962677</v>
      </c>
      <c r="L182" s="8">
        <v>9.1362500563263893</v>
      </c>
      <c r="M182" s="11">
        <v>8.9499998837709427</v>
      </c>
      <c r="N182" s="23">
        <v>10.161250084638596</v>
      </c>
      <c r="O182" s="8">
        <v>9.687499888241291</v>
      </c>
      <c r="P182" s="11">
        <v>10.228749923408031</v>
      </c>
      <c r="Q182" s="48">
        <v>268.30090220385671</v>
      </c>
      <c r="R182" s="8">
        <v>267.35605371900829</v>
      </c>
      <c r="S182" s="20">
        <v>256.94479476584019</v>
      </c>
      <c r="T182" s="69">
        <f t="shared" si="17"/>
        <v>72</v>
      </c>
      <c r="U182" s="23">
        <f t="shared" si="18"/>
        <v>0.59934079245776106</v>
      </c>
      <c r="V182" s="8">
        <f t="shared" si="19"/>
        <v>0.60965032168266753</v>
      </c>
      <c r="W182" s="11">
        <f t="shared" si="20"/>
        <v>0.59810241644006157</v>
      </c>
      <c r="X182" s="23">
        <f t="shared" si="22"/>
        <v>1.1081499408034861</v>
      </c>
      <c r="Y182" s="23">
        <f t="shared" si="22"/>
        <v>1.1272117239226402</v>
      </c>
      <c r="Z182" s="23">
        <f t="shared" si="22"/>
        <v>1.1058602479810125</v>
      </c>
    </row>
    <row r="183" spans="1:26" x14ac:dyDescent="0.3">
      <c r="A183" s="69" t="s">
        <v>321</v>
      </c>
      <c r="B183" s="23" t="s">
        <v>258</v>
      </c>
      <c r="C183" s="8" t="s">
        <v>259</v>
      </c>
      <c r="D183" s="11" t="s">
        <v>260</v>
      </c>
      <c r="E183" s="23" t="s">
        <v>82</v>
      </c>
      <c r="F183" s="8">
        <v>5</v>
      </c>
      <c r="G183" s="64" t="s">
        <v>476</v>
      </c>
      <c r="H183" s="23">
        <v>5.7312499731779099</v>
      </c>
      <c r="I183" s="8">
        <v>6.1362500302493572</v>
      </c>
      <c r="J183" s="11">
        <v>5.521249957382679</v>
      </c>
      <c r="K183" s="23">
        <v>11.308749951422215</v>
      </c>
      <c r="L183" s="8">
        <v>10.857499949634075</v>
      </c>
      <c r="M183" s="11">
        <v>10.701249912381172</v>
      </c>
      <c r="N183" s="23">
        <v>12.686249800026417</v>
      </c>
      <c r="O183" s="8">
        <v>12.838749960064888</v>
      </c>
      <c r="P183" s="11">
        <v>12.649999931454659</v>
      </c>
      <c r="Q183" s="48">
        <v>308.8183746556474</v>
      </c>
      <c r="R183" s="8">
        <v>309.96094628099172</v>
      </c>
      <c r="S183" s="20">
        <v>315.40642561983475</v>
      </c>
      <c r="T183" s="69">
        <f t="shared" si="17"/>
        <v>72</v>
      </c>
      <c r="U183" s="23">
        <f t="shared" si="18"/>
        <v>0.56891488151174496</v>
      </c>
      <c r="V183" s="8">
        <f t="shared" si="19"/>
        <v>0.59475199117131583</v>
      </c>
      <c r="W183" s="11">
        <f t="shared" si="20"/>
        <v>0.61403735584295827</v>
      </c>
      <c r="X183" s="23">
        <f t="shared" si="22"/>
        <v>1.0518940145624966</v>
      </c>
      <c r="Y183" s="23">
        <f t="shared" si="22"/>
        <v>1.0996654859859181</v>
      </c>
      <c r="Z183" s="23">
        <f t="shared" si="22"/>
        <v>1.1353231218221445</v>
      </c>
    </row>
    <row r="184" spans="1:26" x14ac:dyDescent="0.3">
      <c r="A184" s="69" t="s">
        <v>321</v>
      </c>
      <c r="B184" s="23" t="s">
        <v>262</v>
      </c>
      <c r="C184" s="8" t="s">
        <v>263</v>
      </c>
      <c r="D184" s="11" t="s">
        <v>264</v>
      </c>
      <c r="E184" s="23" t="s">
        <v>82</v>
      </c>
      <c r="F184" s="8">
        <v>5</v>
      </c>
      <c r="G184" s="11" t="s">
        <v>477</v>
      </c>
      <c r="H184" s="23">
        <v>5.3962500765919685</v>
      </c>
      <c r="I184" s="8">
        <v>5.0824999809265137</v>
      </c>
      <c r="J184" s="11">
        <v>2.0437499973922968</v>
      </c>
      <c r="K184" s="23">
        <v>10.570000112056732</v>
      </c>
      <c r="L184" s="8">
        <v>10.55000014603138</v>
      </c>
      <c r="M184" s="11">
        <v>10.0425000227987</v>
      </c>
      <c r="N184" s="23">
        <v>12.281250022351742</v>
      </c>
      <c r="O184" s="8">
        <v>12.330000102519989</v>
      </c>
      <c r="P184" s="11">
        <v>12.6324999984353</v>
      </c>
      <c r="Q184" s="48">
        <v>301.38632644628098</v>
      </c>
      <c r="R184" s="8">
        <v>309.51538705234162</v>
      </c>
      <c r="S184" s="20">
        <v>304.179563847331</v>
      </c>
      <c r="T184" s="69">
        <f t="shared" si="17"/>
        <v>72</v>
      </c>
      <c r="U184" s="23">
        <f t="shared" si="18"/>
        <v>0.59402854630078428</v>
      </c>
      <c r="V184" s="8">
        <f t="shared" si="19"/>
        <v>0.61120731194328626</v>
      </c>
      <c r="W184" s="11">
        <f t="shared" si="20"/>
        <v>0.6310255645937598</v>
      </c>
      <c r="X184" s="23">
        <f t="shared" si="22"/>
        <v>1.0983278740620466</v>
      </c>
      <c r="Y184" s="23">
        <f t="shared" si="22"/>
        <v>1.1300905179023741</v>
      </c>
      <c r="Z184" s="23">
        <f t="shared" si="22"/>
        <v>1.1667334358846313</v>
      </c>
    </row>
    <row r="185" spans="1:26" x14ac:dyDescent="0.3">
      <c r="A185" s="69" t="s">
        <v>321</v>
      </c>
      <c r="B185" s="23" t="s">
        <v>266</v>
      </c>
      <c r="C185" s="8" t="s">
        <v>267</v>
      </c>
      <c r="D185" s="11" t="s">
        <v>268</v>
      </c>
      <c r="E185" s="23" t="s">
        <v>82</v>
      </c>
      <c r="F185" s="8">
        <v>5</v>
      </c>
      <c r="G185" s="64" t="s">
        <v>478</v>
      </c>
      <c r="H185" s="23">
        <v>5.3250000812113285</v>
      </c>
      <c r="I185" s="8">
        <v>5.1087499596178532</v>
      </c>
      <c r="J185" s="11">
        <v>5.4387499578297138</v>
      </c>
      <c r="K185" s="23">
        <v>10.485000163316727</v>
      </c>
      <c r="L185" s="8">
        <v>11.09125018119812</v>
      </c>
      <c r="M185" s="11">
        <v>10.491249896585941</v>
      </c>
      <c r="N185" s="23">
        <v>12.617499753832817</v>
      </c>
      <c r="O185" s="8">
        <v>12.058749981224537</v>
      </c>
      <c r="P185" s="11">
        <v>11.767499893903732</v>
      </c>
      <c r="Q185" s="48">
        <v>283.27070247933881</v>
      </c>
      <c r="R185" s="8">
        <v>288.43467768595036</v>
      </c>
      <c r="S185" s="20">
        <v>273.15088980716257</v>
      </c>
      <c r="T185" s="69">
        <f t="shared" si="17"/>
        <v>72</v>
      </c>
      <c r="U185" s="23">
        <f t="shared" si="18"/>
        <v>0.56284910599874916</v>
      </c>
      <c r="V185" s="8">
        <f t="shared" si="19"/>
        <v>0.54178344974225834</v>
      </c>
      <c r="W185" s="11">
        <f t="shared" si="20"/>
        <v>0.5424180716066126</v>
      </c>
      <c r="X185" s="23">
        <f t="shared" si="22"/>
        <v>1.0406787112488527</v>
      </c>
      <c r="Y185" s="23">
        <f t="shared" si="22"/>
        <v>1.0017294089030391</v>
      </c>
      <c r="Z185" s="23">
        <f t="shared" si="22"/>
        <v>1.0029027917100608</v>
      </c>
    </row>
    <row r="186" spans="1:26" x14ac:dyDescent="0.3">
      <c r="A186" s="69" t="s">
        <v>321</v>
      </c>
      <c r="B186" s="23" t="s">
        <v>270</v>
      </c>
      <c r="C186" s="8" t="s">
        <v>271</v>
      </c>
      <c r="D186" s="11" t="s">
        <v>272</v>
      </c>
      <c r="E186" s="23" t="s">
        <v>82</v>
      </c>
      <c r="F186" s="8">
        <v>5</v>
      </c>
      <c r="G186" s="11" t="s">
        <v>479</v>
      </c>
      <c r="H186" s="23">
        <v>2.0362500101327896</v>
      </c>
      <c r="I186" s="8">
        <v>4.0275000501424074</v>
      </c>
      <c r="J186" s="11">
        <v>2.0450000185519457</v>
      </c>
      <c r="K186" s="23">
        <v>7.0337500609457404</v>
      </c>
      <c r="L186" s="8">
        <v>10.538749955594501</v>
      </c>
      <c r="M186" s="11">
        <v>7.9812500569969398</v>
      </c>
      <c r="N186" s="23">
        <v>13.533750027418099</v>
      </c>
      <c r="O186" s="8">
        <v>12.282500043511391</v>
      </c>
      <c r="P186" s="11">
        <v>2.1749999839812517</v>
      </c>
      <c r="Q186" s="48">
        <v>303.55694352617002</v>
      </c>
      <c r="R186" s="8">
        <v>305.00750826446279</v>
      </c>
      <c r="S186" s="20">
        <v>301.15354636781399</v>
      </c>
      <c r="T186" s="69">
        <f t="shared" si="17"/>
        <v>72</v>
      </c>
      <c r="U186" s="23">
        <f t="shared" si="18"/>
        <v>0.89910829007737292</v>
      </c>
      <c r="V186" s="8">
        <f t="shared" si="19"/>
        <v>0.60294846311158368</v>
      </c>
      <c r="W186" s="11">
        <f t="shared" si="20"/>
        <v>0.78609643491821879</v>
      </c>
      <c r="X186" s="23">
        <f t="shared" si="22"/>
        <v>1.6624044466243844</v>
      </c>
      <c r="Y186" s="23">
        <f t="shared" si="22"/>
        <v>1.1148203361307885</v>
      </c>
      <c r="Z186" s="23">
        <f t="shared" si="22"/>
        <v>1.4534514065832551</v>
      </c>
    </row>
    <row r="187" spans="1:26" x14ac:dyDescent="0.3">
      <c r="A187" s="69" t="s">
        <v>321</v>
      </c>
      <c r="B187" s="23" t="s">
        <v>86</v>
      </c>
      <c r="C187" s="8" t="s">
        <v>86</v>
      </c>
      <c r="D187" s="11" t="s">
        <v>86</v>
      </c>
      <c r="E187" s="23" t="s">
        <v>87</v>
      </c>
      <c r="F187" s="8">
        <v>5</v>
      </c>
      <c r="G187" s="11" t="s">
        <v>335</v>
      </c>
      <c r="H187" s="23">
        <v>2.2687500342726707</v>
      </c>
      <c r="I187" s="8">
        <v>2.1862500347197056</v>
      </c>
      <c r="J187" s="11">
        <v>2.1924999542534351</v>
      </c>
      <c r="K187" s="23">
        <v>4.8687499947845936</v>
      </c>
      <c r="L187" s="8">
        <v>4.6249998733401299</v>
      </c>
      <c r="M187" s="11">
        <v>4.6137499623000622</v>
      </c>
      <c r="N187" s="23">
        <v>6.0637500137090683</v>
      </c>
      <c r="O187" s="8">
        <v>6.2325000762939453</v>
      </c>
      <c r="P187" s="11">
        <v>3.0749999452382326</v>
      </c>
      <c r="Q187" s="48">
        <v>119.92261157024794</v>
      </c>
      <c r="R187" s="8">
        <v>128.65468595041324</v>
      </c>
      <c r="S187" s="20">
        <v>117.34523140495868</v>
      </c>
      <c r="T187" s="69">
        <f t="shared" si="17"/>
        <v>72</v>
      </c>
      <c r="U187" s="23">
        <f t="shared" si="18"/>
        <v>0.51314767521912319</v>
      </c>
      <c r="V187" s="8">
        <f t="shared" si="19"/>
        <v>0.57952562826009013</v>
      </c>
      <c r="W187" s="11">
        <f t="shared" si="20"/>
        <v>0.52987100317805325</v>
      </c>
      <c r="X187" s="23">
        <f t="shared" si="22"/>
        <v>0.94878335176492001</v>
      </c>
      <c r="Y187" s="23">
        <f t="shared" si="22"/>
        <v>1.0715127332097647</v>
      </c>
      <c r="Z187" s="23">
        <f t="shared" si="22"/>
        <v>0.97970391502531529</v>
      </c>
    </row>
    <row r="188" spans="1:26" x14ac:dyDescent="0.3">
      <c r="A188" s="69" t="s">
        <v>480</v>
      </c>
      <c r="B188" s="23" t="s">
        <v>27</v>
      </c>
      <c r="C188" s="8" t="s">
        <v>28</v>
      </c>
      <c r="D188" s="11" t="s">
        <v>29</v>
      </c>
      <c r="E188" s="23" t="s">
        <v>30</v>
      </c>
      <c r="F188" s="8">
        <v>2</v>
      </c>
      <c r="G188" s="56" t="s">
        <v>481</v>
      </c>
      <c r="H188" s="33">
        <v>5.1737499423325062</v>
      </c>
      <c r="I188" s="3">
        <v>5.7649999856948853</v>
      </c>
      <c r="J188" s="34">
        <v>3.496250044554472</v>
      </c>
      <c r="K188" s="33">
        <v>7.9037502408027649</v>
      </c>
      <c r="L188" s="3">
        <v>7.7612500637769699</v>
      </c>
      <c r="M188" s="34">
        <v>8.7287500500679016</v>
      </c>
      <c r="N188" s="23" t="s">
        <v>32</v>
      </c>
      <c r="O188" s="8" t="s">
        <v>32</v>
      </c>
      <c r="P188" s="11" t="s">
        <v>32</v>
      </c>
      <c r="Q188" s="47">
        <v>52.396777338603428</v>
      </c>
      <c r="R188" s="3">
        <v>59.104942028985498</v>
      </c>
      <c r="S188" s="41">
        <v>59.113603425559944</v>
      </c>
      <c r="T188" s="69">
        <f t="shared" si="17"/>
        <v>48</v>
      </c>
      <c r="U188" s="23">
        <f t="shared" si="18"/>
        <v>0.27622318383803085</v>
      </c>
      <c r="V188" s="8">
        <f t="shared" si="19"/>
        <v>0.31730789468673987</v>
      </c>
      <c r="W188" s="11">
        <f t="shared" si="20"/>
        <v>0.28217863901134055</v>
      </c>
      <c r="X188" s="23">
        <f>U188/AVERAGE($U$201:$W$201)</f>
        <v>1.9855072671743672</v>
      </c>
      <c r="Y188" s="23">
        <f>V188/AVERAGE($U$201:$W$201)</f>
        <v>2.2808264030500216</v>
      </c>
      <c r="Z188" s="23">
        <f>W188/AVERAGE($U$201:$W$201)</f>
        <v>2.0283154028335058</v>
      </c>
    </row>
    <row r="189" spans="1:26" x14ac:dyDescent="0.3">
      <c r="A189" s="69" t="s">
        <v>480</v>
      </c>
      <c r="B189" s="23" t="s">
        <v>33</v>
      </c>
      <c r="C189" s="8" t="s">
        <v>34</v>
      </c>
      <c r="D189" s="11" t="s">
        <v>35</v>
      </c>
      <c r="E189" s="23" t="s">
        <v>30</v>
      </c>
      <c r="F189" s="8">
        <v>2</v>
      </c>
      <c r="G189" s="56" t="s">
        <v>482</v>
      </c>
      <c r="H189" s="33">
        <v>4.9037499353289604</v>
      </c>
      <c r="I189" s="3">
        <v>5.4724999703466892</v>
      </c>
      <c r="J189" s="34">
        <v>3.4012499265372753</v>
      </c>
      <c r="K189" s="33">
        <v>8.1075001507997513</v>
      </c>
      <c r="L189" s="3">
        <v>8.1700000911951065</v>
      </c>
      <c r="M189" s="34">
        <v>9.1837501153349876</v>
      </c>
      <c r="N189" s="23" t="s">
        <v>32</v>
      </c>
      <c r="O189" s="8" t="s">
        <v>32</v>
      </c>
      <c r="P189" s="11" t="s">
        <v>32</v>
      </c>
      <c r="Q189" s="47">
        <v>77.580949934123865</v>
      </c>
      <c r="R189" s="3">
        <v>68.339179183135698</v>
      </c>
      <c r="S189" s="41">
        <v>71.277013175230564</v>
      </c>
      <c r="T189" s="69">
        <f t="shared" si="17"/>
        <v>48</v>
      </c>
      <c r="U189" s="23">
        <f t="shared" si="18"/>
        <v>0.39870977742376307</v>
      </c>
      <c r="V189" s="8">
        <f t="shared" si="19"/>
        <v>0.34852702172746169</v>
      </c>
      <c r="W189" s="11">
        <f t="shared" si="20"/>
        <v>0.32338374973953771</v>
      </c>
      <c r="X189" s="23">
        <f>U189/AVERAGE($U$201:$W$201)</f>
        <v>2.8659475630132158</v>
      </c>
      <c r="Y189" s="23">
        <f>V189/AVERAGE($U$201:$W$201)</f>
        <v>2.5052311859973488</v>
      </c>
      <c r="Z189" s="23">
        <f>W189/AVERAGE($U$201:$W$201)</f>
        <v>2.3244999795905845</v>
      </c>
    </row>
    <row r="190" spans="1:26" x14ac:dyDescent="0.3">
      <c r="A190" s="69" t="s">
        <v>480</v>
      </c>
      <c r="B190" s="23" t="s">
        <v>37</v>
      </c>
      <c r="C190" s="8" t="s">
        <v>38</v>
      </c>
      <c r="D190" s="11" t="s">
        <v>39</v>
      </c>
      <c r="E190" s="23" t="s">
        <v>30</v>
      </c>
      <c r="F190" s="8">
        <v>2</v>
      </c>
      <c r="G190" s="56" t="s">
        <v>483</v>
      </c>
      <c r="H190" s="33">
        <v>5.0149999558925629</v>
      </c>
      <c r="I190" s="3">
        <v>5.508749932050705</v>
      </c>
      <c r="J190" s="34">
        <v>3.0149999540299177</v>
      </c>
      <c r="K190" s="33">
        <v>8.6825001984834671</v>
      </c>
      <c r="L190" s="3">
        <v>8.3662500604987144</v>
      </c>
      <c r="M190" s="34">
        <v>8.3474999293684959</v>
      </c>
      <c r="N190" s="23" t="s">
        <v>32</v>
      </c>
      <c r="O190" s="8" t="s">
        <v>32</v>
      </c>
      <c r="P190" s="11" t="s">
        <v>32</v>
      </c>
      <c r="Q190" s="47">
        <v>65.697400527009236</v>
      </c>
      <c r="R190" s="3">
        <v>75.164953886693013</v>
      </c>
      <c r="S190" s="41">
        <v>59.235675889328057</v>
      </c>
      <c r="T190" s="69">
        <f t="shared" ref="T190:T251" si="23">IF(N190="NA",48,72)</f>
        <v>48</v>
      </c>
      <c r="U190" s="23">
        <f t="shared" ref="U190:U251" si="24">Q190/K190/(T190-24)</f>
        <v>0.3152768932966466</v>
      </c>
      <c r="V190" s="8">
        <f t="shared" ref="V190:V251" si="25">R190/L190/(T190-24)</f>
        <v>0.37434609962226223</v>
      </c>
      <c r="W190" s="11">
        <f t="shared" ref="W190:W251" si="26">S190/M190/(T190-24)</f>
        <v>0.29567573320627222</v>
      </c>
      <c r="X190" s="23">
        <f>U190/AVERAGE($U$201:$W$201)</f>
        <v>2.2662274546068093</v>
      </c>
      <c r="Y190" s="23">
        <f>V190/AVERAGE($U$201:$W$201)</f>
        <v>2.6908201220148529</v>
      </c>
      <c r="Z190" s="23">
        <f>W190/AVERAGE($U$201:$W$201)</f>
        <v>2.1253332499143203</v>
      </c>
    </row>
    <row r="191" spans="1:26" x14ac:dyDescent="0.3">
      <c r="A191" s="69" t="s">
        <v>480</v>
      </c>
      <c r="B191" s="23" t="s">
        <v>41</v>
      </c>
      <c r="C191" s="8" t="s">
        <v>42</v>
      </c>
      <c r="D191" s="11" t="s">
        <v>43</v>
      </c>
      <c r="E191" s="23" t="s">
        <v>30</v>
      </c>
      <c r="F191" s="8">
        <v>2</v>
      </c>
      <c r="G191" s="56" t="s">
        <v>484</v>
      </c>
      <c r="H191" s="33">
        <v>4.92125004529953</v>
      </c>
      <c r="I191" s="3">
        <v>7.5325001031160355</v>
      </c>
      <c r="J191" s="34">
        <v>3.3200000412762165</v>
      </c>
      <c r="K191" s="33">
        <v>8.932499960064888</v>
      </c>
      <c r="L191" s="3">
        <v>8.6712498217821121</v>
      </c>
      <c r="M191" s="34">
        <v>6.9050000980496407</v>
      </c>
      <c r="N191" s="23" t="s">
        <v>32</v>
      </c>
      <c r="O191" s="8" t="s">
        <v>32</v>
      </c>
      <c r="P191" s="11" t="s">
        <v>32</v>
      </c>
      <c r="Q191" s="47">
        <v>62.297121212121205</v>
      </c>
      <c r="R191" s="3">
        <v>68.103633728590253</v>
      </c>
      <c r="S191" s="41">
        <v>50.751339920948617</v>
      </c>
      <c r="T191" s="69">
        <f t="shared" si="23"/>
        <v>48</v>
      </c>
      <c r="U191" s="23">
        <f t="shared" si="24"/>
        <v>0.29059203979213089</v>
      </c>
      <c r="V191" s="8">
        <f t="shared" si="25"/>
        <v>0.32724825874924846</v>
      </c>
      <c r="W191" s="11">
        <f t="shared" si="26"/>
        <v>0.30624752112170889</v>
      </c>
      <c r="X191" s="23">
        <f>U191/AVERAGE($U$201:$W$201)</f>
        <v>2.088791385188792</v>
      </c>
      <c r="Y191" s="23">
        <f>V191/AVERAGE($U$201:$W$201)</f>
        <v>2.3522782805145965</v>
      </c>
      <c r="Z191" s="23">
        <f>W191/AVERAGE($U$201:$W$201)</f>
        <v>2.2013238363722398</v>
      </c>
    </row>
    <row r="192" spans="1:26" x14ac:dyDescent="0.3">
      <c r="A192" s="69" t="s">
        <v>480</v>
      </c>
      <c r="B192" s="23" t="s">
        <v>45</v>
      </c>
      <c r="C192" s="8" t="s">
        <v>46</v>
      </c>
      <c r="D192" s="11" t="s">
        <v>47</v>
      </c>
      <c r="E192" s="23" t="s">
        <v>30</v>
      </c>
      <c r="F192" s="8">
        <v>2</v>
      </c>
      <c r="G192" s="56" t="s">
        <v>482</v>
      </c>
      <c r="H192" s="33">
        <v>4.8124999739229679</v>
      </c>
      <c r="I192" s="3">
        <v>4.8662499524652958</v>
      </c>
      <c r="J192" s="34">
        <v>3.0300000216811895</v>
      </c>
      <c r="K192" s="33">
        <v>8.8012499734759331</v>
      </c>
      <c r="L192" s="3">
        <v>8.0775000154972076</v>
      </c>
      <c r="M192" s="34">
        <v>9.0562500059604645</v>
      </c>
      <c r="N192" s="23" t="s">
        <v>32</v>
      </c>
      <c r="O192" s="8" t="s">
        <v>32</v>
      </c>
      <c r="P192" s="11" t="s">
        <v>32</v>
      </c>
      <c r="Q192" s="47">
        <v>58.301890645586305</v>
      </c>
      <c r="R192" s="3">
        <v>62.58269433465086</v>
      </c>
      <c r="S192" s="41">
        <v>68.401873517786555</v>
      </c>
      <c r="T192" s="69">
        <f t="shared" si="23"/>
        <v>48</v>
      </c>
      <c r="U192" s="23">
        <f t="shared" si="24"/>
        <v>0.27601141325232681</v>
      </c>
      <c r="V192" s="8">
        <f t="shared" si="25"/>
        <v>0.32282417318983753</v>
      </c>
      <c r="W192" s="11">
        <f t="shared" si="26"/>
        <v>0.31470841257311782</v>
      </c>
      <c r="X192" s="23">
        <f>U192/AVERAGE($U$201:$W$201)</f>
        <v>1.9839850486876824</v>
      </c>
      <c r="Y192" s="23">
        <f>V192/AVERAGE($U$201:$W$201)</f>
        <v>2.3204777129200882</v>
      </c>
      <c r="Z192" s="23">
        <f>W192/AVERAGE($U$201:$W$201)</f>
        <v>2.2621411842506003</v>
      </c>
    </row>
    <row r="193" spans="1:26" x14ac:dyDescent="0.3">
      <c r="A193" s="69" t="s">
        <v>480</v>
      </c>
      <c r="B193" s="23" t="s">
        <v>49</v>
      </c>
      <c r="C193" s="8" t="s">
        <v>50</v>
      </c>
      <c r="D193" s="11" t="s">
        <v>51</v>
      </c>
      <c r="E193" s="23" t="s">
        <v>30</v>
      </c>
      <c r="F193" s="8">
        <v>2</v>
      </c>
      <c r="G193" s="56" t="s">
        <v>483</v>
      </c>
      <c r="H193" s="33">
        <v>5.0100000575184822</v>
      </c>
      <c r="I193" s="3">
        <v>5.5174998939037323</v>
      </c>
      <c r="J193" s="34">
        <v>3.6987500265240669</v>
      </c>
      <c r="K193" s="33">
        <v>8.2512497901916504</v>
      </c>
      <c r="L193" s="3">
        <v>8.4837500005960464</v>
      </c>
      <c r="M193" s="34">
        <v>8.9475000277161598</v>
      </c>
      <c r="N193" s="23" t="s">
        <v>32</v>
      </c>
      <c r="O193" s="8" t="s">
        <v>32</v>
      </c>
      <c r="P193" s="11" t="s">
        <v>32</v>
      </c>
      <c r="Q193" s="47">
        <v>52.544123847167299</v>
      </c>
      <c r="R193" s="3">
        <v>66.846947299077726</v>
      </c>
      <c r="S193" s="41">
        <v>59.042353096179198</v>
      </c>
      <c r="T193" s="69">
        <f t="shared" si="23"/>
        <v>48</v>
      </c>
      <c r="U193" s="23">
        <f t="shared" si="24"/>
        <v>0.26533416746569244</v>
      </c>
      <c r="V193" s="8">
        <f t="shared" si="25"/>
        <v>0.32830876329444147</v>
      </c>
      <c r="W193" s="11">
        <f t="shared" si="26"/>
        <v>0.27494809031054795</v>
      </c>
      <c r="X193" s="23">
        <f>U193/AVERAGE($U$201:$W$201)</f>
        <v>1.9072364253165164</v>
      </c>
      <c r="Y193" s="23">
        <f>V193/AVERAGE($U$201:$W$201)</f>
        <v>2.3599012448584835</v>
      </c>
      <c r="Z193" s="23">
        <f>W193/AVERAGE($U$201:$W$201)</f>
        <v>1.9763418255558649</v>
      </c>
    </row>
    <row r="194" spans="1:26" x14ac:dyDescent="0.3">
      <c r="A194" s="69" t="s">
        <v>480</v>
      </c>
      <c r="B194" s="23" t="s">
        <v>53</v>
      </c>
      <c r="C194" s="8" t="s">
        <v>54</v>
      </c>
      <c r="D194" s="11" t="s">
        <v>53</v>
      </c>
      <c r="E194" s="23" t="s">
        <v>30</v>
      </c>
      <c r="F194" s="8">
        <v>2</v>
      </c>
      <c r="G194" s="56" t="s">
        <v>484</v>
      </c>
      <c r="H194" s="33">
        <v>4.934999905526638</v>
      </c>
      <c r="I194" s="3">
        <v>6.9512500427663326</v>
      </c>
      <c r="J194" s="34">
        <v>3.5325000062584877</v>
      </c>
      <c r="K194" s="33">
        <v>8.398750051856041</v>
      </c>
      <c r="L194" s="3">
        <v>7.5662501156330109</v>
      </c>
      <c r="M194" s="34">
        <v>8.3699999377131462</v>
      </c>
      <c r="N194" s="23" t="s">
        <v>32</v>
      </c>
      <c r="O194" s="8" t="s">
        <v>32</v>
      </c>
      <c r="P194" s="11" t="s">
        <v>32</v>
      </c>
      <c r="Q194" s="47">
        <v>72.508300395256896</v>
      </c>
      <c r="R194" s="3">
        <v>66.128297760210813</v>
      </c>
      <c r="S194" s="41">
        <v>71.091328063241107</v>
      </c>
      <c r="T194" s="69">
        <f t="shared" si="23"/>
        <v>48</v>
      </c>
      <c r="U194" s="23">
        <f t="shared" si="24"/>
        <v>0.35971771566985172</v>
      </c>
      <c r="V194" s="8">
        <f t="shared" si="25"/>
        <v>0.36416265625634359</v>
      </c>
      <c r="W194" s="11">
        <f t="shared" si="26"/>
        <v>0.35389948522640363</v>
      </c>
      <c r="X194" s="23">
        <f>U194/AVERAGE($U$201:$W$201)</f>
        <v>2.5856705026347542</v>
      </c>
      <c r="Y194" s="23">
        <f>V194/AVERAGE($U$201:$W$201)</f>
        <v>2.6176209772980719</v>
      </c>
      <c r="Z194" s="23">
        <f>W194/AVERAGE($U$201:$W$201)</f>
        <v>2.5438487457965042</v>
      </c>
    </row>
    <row r="195" spans="1:26" x14ac:dyDescent="0.3">
      <c r="A195" s="69" t="s">
        <v>480</v>
      </c>
      <c r="B195" s="23" t="s">
        <v>56</v>
      </c>
      <c r="C195" s="8" t="s">
        <v>57</v>
      </c>
      <c r="D195" s="11" t="s">
        <v>58</v>
      </c>
      <c r="E195" s="23" t="s">
        <v>30</v>
      </c>
      <c r="F195" s="8">
        <v>2</v>
      </c>
      <c r="G195" s="56" t="s">
        <v>485</v>
      </c>
      <c r="H195" s="33">
        <v>4.4174998998641968</v>
      </c>
      <c r="I195" s="3">
        <v>4.5925001613795757</v>
      </c>
      <c r="J195" s="34">
        <v>3.97749999538064</v>
      </c>
      <c r="K195" s="33">
        <v>9.4099998474121094</v>
      </c>
      <c r="L195" s="3">
        <v>9.1162499040365219</v>
      </c>
      <c r="M195" s="34">
        <v>8.8187498971819878</v>
      </c>
      <c r="N195" s="23" t="s">
        <v>32</v>
      </c>
      <c r="O195" s="8" t="s">
        <v>32</v>
      </c>
      <c r="P195" s="11" t="s">
        <v>32</v>
      </c>
      <c r="Q195" s="47">
        <v>53.001778656126497</v>
      </c>
      <c r="R195" s="3">
        <v>58.458503293807645</v>
      </c>
      <c r="S195" s="41">
        <v>61.08228985507246</v>
      </c>
      <c r="T195" s="69">
        <f t="shared" si="23"/>
        <v>48</v>
      </c>
      <c r="U195" s="23">
        <f t="shared" si="24"/>
        <v>0.23468729859890655</v>
      </c>
      <c r="V195" s="8">
        <f t="shared" si="25"/>
        <v>0.26719001741020726</v>
      </c>
      <c r="W195" s="11">
        <f t="shared" si="26"/>
        <v>0.28860047515819659</v>
      </c>
      <c r="X195" s="23">
        <f>U195/AVERAGE($U$201:$W$201)</f>
        <v>1.6869450652443523</v>
      </c>
      <c r="Y195" s="23">
        <f>V195/AVERAGE($U$201:$W$201)</f>
        <v>1.9205763756437126</v>
      </c>
      <c r="Z195" s="23">
        <f>W195/AVERAGE($U$201:$W$201)</f>
        <v>2.0744759102935251</v>
      </c>
    </row>
    <row r="196" spans="1:26" ht="15" thickBot="1" x14ac:dyDescent="0.35">
      <c r="A196" s="69" t="s">
        <v>480</v>
      </c>
      <c r="B196" s="23" t="s">
        <v>60</v>
      </c>
      <c r="C196" s="8" t="s">
        <v>61</v>
      </c>
      <c r="D196" s="11" t="s">
        <v>62</v>
      </c>
      <c r="E196" s="23" t="s">
        <v>30</v>
      </c>
      <c r="F196" s="8">
        <v>2</v>
      </c>
      <c r="G196" s="56" t="s">
        <v>486</v>
      </c>
      <c r="H196" s="33">
        <v>4.7175000421702862</v>
      </c>
      <c r="I196" s="3">
        <v>3.1174999661743641</v>
      </c>
      <c r="J196" s="34">
        <v>3.372499905526638</v>
      </c>
      <c r="K196" s="33">
        <v>8.1687498837709427</v>
      </c>
      <c r="L196" s="3">
        <v>8.2725001499056816</v>
      </c>
      <c r="M196" s="34">
        <v>9.0562500059604645</v>
      </c>
      <c r="N196" s="23" t="s">
        <v>32</v>
      </c>
      <c r="O196" s="8" t="s">
        <v>32</v>
      </c>
      <c r="P196" s="11" t="s">
        <v>32</v>
      </c>
      <c r="Q196" s="86">
        <v>59.106845849802397</v>
      </c>
      <c r="R196" s="88">
        <v>53.694806324110672</v>
      </c>
      <c r="S196" s="91">
        <v>57.528777338603419</v>
      </c>
      <c r="T196" s="69">
        <f t="shared" si="23"/>
        <v>48</v>
      </c>
      <c r="U196" s="23">
        <f t="shared" si="24"/>
        <v>0.30148863397502756</v>
      </c>
      <c r="V196" s="8">
        <f t="shared" si="25"/>
        <v>0.27044829934073228</v>
      </c>
      <c r="W196" s="11">
        <f t="shared" si="26"/>
        <v>0.26468266528981027</v>
      </c>
      <c r="X196" s="23">
        <f>U196/AVERAGE($U$201:$W$201)</f>
        <v>2.1671166967610369</v>
      </c>
      <c r="Y196" s="23">
        <f>V196/AVERAGE($U$201:$W$201)</f>
        <v>1.9439970833543072</v>
      </c>
      <c r="Z196" s="23">
        <f>W196/AVERAGE($U$201:$W$201)</f>
        <v>1.9025533922458655</v>
      </c>
    </row>
    <row r="197" spans="1:26" x14ac:dyDescent="0.3">
      <c r="A197" s="69" t="s">
        <v>480</v>
      </c>
      <c r="B197" s="23" t="s">
        <v>64</v>
      </c>
      <c r="C197" s="8" t="s">
        <v>65</v>
      </c>
      <c r="D197" s="11" t="s">
        <v>64</v>
      </c>
      <c r="E197" s="23" t="s">
        <v>30</v>
      </c>
      <c r="F197" s="8">
        <v>2</v>
      </c>
      <c r="G197" s="56" t="s">
        <v>487</v>
      </c>
      <c r="H197" s="33">
        <v>4.6412498690187931</v>
      </c>
      <c r="I197" s="3">
        <v>2.7687500230967999</v>
      </c>
      <c r="J197" s="34">
        <v>2.9974999837577343</v>
      </c>
      <c r="K197" s="33">
        <v>8.6562501266598701</v>
      </c>
      <c r="L197" s="3">
        <v>7.9737499356269836</v>
      </c>
      <c r="M197" s="34">
        <v>8.7799999862909317</v>
      </c>
      <c r="N197" s="23" t="s">
        <v>32</v>
      </c>
      <c r="O197" s="8" t="s">
        <v>32</v>
      </c>
      <c r="P197" s="11" t="s">
        <v>32</v>
      </c>
      <c r="Q197" s="85">
        <v>30.850321475625826</v>
      </c>
      <c r="R197" s="87">
        <v>52.609635046113304</v>
      </c>
      <c r="S197" s="90">
        <v>53.233739130434778</v>
      </c>
      <c r="T197" s="69">
        <f t="shared" si="23"/>
        <v>48</v>
      </c>
      <c r="U197" s="23">
        <f t="shared" si="24"/>
        <v>0.14849733344990687</v>
      </c>
      <c r="V197" s="8">
        <f t="shared" si="25"/>
        <v>0.2749105683797724</v>
      </c>
      <c r="W197" s="11">
        <f t="shared" si="26"/>
        <v>0.25262784364822416</v>
      </c>
      <c r="X197" s="23">
        <f>U197/AVERAGE($U$201:$W$201)</f>
        <v>1.067406908515298</v>
      </c>
      <c r="Y197" s="23">
        <f>V197/AVERAGE($U$201:$W$201)</f>
        <v>1.9760721158769086</v>
      </c>
      <c r="Z197" s="23">
        <f>W197/AVERAGE($U$201:$W$201)</f>
        <v>1.8159026787130912</v>
      </c>
    </row>
    <row r="198" spans="1:26" x14ac:dyDescent="0.3">
      <c r="A198" s="69" t="s">
        <v>480</v>
      </c>
      <c r="B198" s="23" t="s">
        <v>67</v>
      </c>
      <c r="C198" s="8" t="s">
        <v>68</v>
      </c>
      <c r="D198" s="11" t="s">
        <v>69</v>
      </c>
      <c r="E198" s="23" t="s">
        <v>30</v>
      </c>
      <c r="F198" s="8">
        <v>2</v>
      </c>
      <c r="G198" s="56" t="s">
        <v>488</v>
      </c>
      <c r="H198" s="33">
        <v>4.8787499777972698</v>
      </c>
      <c r="I198" s="3">
        <v>3.3375000581145287</v>
      </c>
      <c r="J198" s="34">
        <v>4.1787499561905861</v>
      </c>
      <c r="K198" s="33">
        <v>9.2875000089406967</v>
      </c>
      <c r="L198" s="3">
        <v>9.2374999076128006</v>
      </c>
      <c r="M198" s="34">
        <v>9.3412498012185097</v>
      </c>
      <c r="N198" s="23" t="s">
        <v>32</v>
      </c>
      <c r="O198" s="8" t="s">
        <v>32</v>
      </c>
      <c r="P198" s="11" t="s">
        <v>32</v>
      </c>
      <c r="Q198" s="33">
        <v>39.763960474308305</v>
      </c>
      <c r="R198" s="3">
        <v>27.353886693017124</v>
      </c>
      <c r="S198" s="34">
        <v>47.209222661396581</v>
      </c>
      <c r="T198" s="69">
        <f t="shared" si="23"/>
        <v>48</v>
      </c>
      <c r="U198" s="23">
        <f t="shared" si="24"/>
        <v>0.17839372111273741</v>
      </c>
      <c r="V198" s="8">
        <f t="shared" si="25"/>
        <v>0.12338244008386161</v>
      </c>
      <c r="W198" s="11">
        <f t="shared" si="26"/>
        <v>0.21057684850353406</v>
      </c>
      <c r="X198" s="23">
        <f>U198/AVERAGE($U$201:$W$201)</f>
        <v>1.2823037688802803</v>
      </c>
      <c r="Y198" s="23">
        <f>V198/AVERAGE($U$201:$W$201)</f>
        <v>0.88687968918590232</v>
      </c>
      <c r="Z198" s="23">
        <f>W198/AVERAGE($U$201:$W$201)</f>
        <v>1.5136378387688314</v>
      </c>
    </row>
    <row r="199" spans="1:26" x14ac:dyDescent="0.3">
      <c r="A199" s="69" t="s">
        <v>480</v>
      </c>
      <c r="B199" s="23" t="s">
        <v>71</v>
      </c>
      <c r="C199" s="8" t="s">
        <v>72</v>
      </c>
      <c r="D199" s="11" t="s">
        <v>73</v>
      </c>
      <c r="E199" s="23" t="s">
        <v>30</v>
      </c>
      <c r="F199" s="8">
        <v>2</v>
      </c>
      <c r="G199" s="56" t="s">
        <v>489</v>
      </c>
      <c r="H199" s="33">
        <v>4.980000015348196</v>
      </c>
      <c r="I199" s="3">
        <v>3.2637500204145908</v>
      </c>
      <c r="J199" s="34">
        <v>3.5612499341368675</v>
      </c>
      <c r="K199" s="33">
        <v>9.1324999928474426</v>
      </c>
      <c r="L199" s="3">
        <v>7.9899998381733894</v>
      </c>
      <c r="M199" s="34">
        <v>8.8324999436736107</v>
      </c>
      <c r="N199" s="23" t="s">
        <v>32</v>
      </c>
      <c r="O199" s="8" t="s">
        <v>32</v>
      </c>
      <c r="P199" s="11" t="s">
        <v>32</v>
      </c>
      <c r="Q199" s="33">
        <v>60.578552042160702</v>
      </c>
      <c r="R199" s="3">
        <v>60.914459815546799</v>
      </c>
      <c r="S199" s="34">
        <v>58.516028985507255</v>
      </c>
      <c r="T199" s="69">
        <f t="shared" si="23"/>
        <v>48</v>
      </c>
      <c r="U199" s="23">
        <f t="shared" si="24"/>
        <v>0.27638722552060274</v>
      </c>
      <c r="V199" s="8">
        <f t="shared" si="25"/>
        <v>0.31765989283107304</v>
      </c>
      <c r="W199" s="11">
        <f t="shared" si="26"/>
        <v>0.27604504839453797</v>
      </c>
      <c r="X199" s="23">
        <f>U199/AVERAGE($U$201:$W$201)</f>
        <v>1.9866864077097142</v>
      </c>
      <c r="Y199" s="23">
        <f>V199/AVERAGE($U$201:$W$201)</f>
        <v>2.2833565848540776</v>
      </c>
      <c r="Z199" s="23">
        <f>W199/AVERAGE($U$201:$W$201)</f>
        <v>1.9842268199190642</v>
      </c>
    </row>
    <row r="200" spans="1:26" x14ac:dyDescent="0.3">
      <c r="A200" s="69" t="s">
        <v>480</v>
      </c>
      <c r="B200" s="23" t="s">
        <v>75</v>
      </c>
      <c r="C200" s="8" t="s">
        <v>76</v>
      </c>
      <c r="D200" s="11" t="s">
        <v>77</v>
      </c>
      <c r="E200" s="23" t="s">
        <v>30</v>
      </c>
      <c r="F200" s="8">
        <v>2</v>
      </c>
      <c r="G200" s="56" t="s">
        <v>490</v>
      </c>
      <c r="H200" s="33">
        <v>4.7237500548362732</v>
      </c>
      <c r="I200" s="3">
        <v>2.9387500137090683</v>
      </c>
      <c r="J200" s="34">
        <v>2.9850000515580177</v>
      </c>
      <c r="K200" s="33">
        <v>8.7212501093745232</v>
      </c>
      <c r="L200" s="3">
        <v>8.893749862909317</v>
      </c>
      <c r="M200" s="34">
        <v>9.5250001177191734</v>
      </c>
      <c r="N200" s="23" t="s">
        <v>32</v>
      </c>
      <c r="O200" s="8" t="s">
        <v>32</v>
      </c>
      <c r="P200" s="11" t="s">
        <v>32</v>
      </c>
      <c r="Q200" s="33">
        <v>50.903785243741765</v>
      </c>
      <c r="R200" s="3">
        <v>45.666716732542817</v>
      </c>
      <c r="S200" s="34">
        <v>53.064378129117259</v>
      </c>
      <c r="T200" s="69">
        <f t="shared" si="23"/>
        <v>48</v>
      </c>
      <c r="U200" s="23">
        <f t="shared" si="24"/>
        <v>0.2431980536302597</v>
      </c>
      <c r="V200" s="8">
        <f t="shared" si="25"/>
        <v>0.2139457364088172</v>
      </c>
      <c r="W200" s="11">
        <f t="shared" si="26"/>
        <v>0.23212763549123491</v>
      </c>
      <c r="X200" s="23">
        <f>U200/AVERAGE($U$201:$W$201)</f>
        <v>1.7481208352470652</v>
      </c>
      <c r="Y200" s="23">
        <f>V200/AVERAGE($U$201:$W$201)</f>
        <v>1.5378535882410327</v>
      </c>
      <c r="Z200" s="23">
        <f>W200/AVERAGE($U$201:$W$201)</f>
        <v>1.6685460676251653</v>
      </c>
    </row>
    <row r="201" spans="1:26" x14ac:dyDescent="0.3">
      <c r="A201" s="69" t="s">
        <v>480</v>
      </c>
      <c r="B201" s="23" t="s">
        <v>86</v>
      </c>
      <c r="C201" s="8" t="s">
        <v>86</v>
      </c>
      <c r="D201" s="11" t="s">
        <v>86</v>
      </c>
      <c r="E201" s="23" t="s">
        <v>87</v>
      </c>
      <c r="F201" s="8">
        <v>2</v>
      </c>
      <c r="G201" s="56" t="s">
        <v>491</v>
      </c>
      <c r="H201" s="33">
        <v>4.6737500466406345</v>
      </c>
      <c r="I201" s="3">
        <v>3.1462499871850014</v>
      </c>
      <c r="J201" s="34">
        <v>2.9337500222027302</v>
      </c>
      <c r="K201" s="33">
        <v>8.8074998930096626</v>
      </c>
      <c r="L201" s="3">
        <v>9.3250000849366188</v>
      </c>
      <c r="M201" s="34">
        <v>9.166250191628933</v>
      </c>
      <c r="N201" s="23" t="s">
        <v>32</v>
      </c>
      <c r="O201" s="8" t="s">
        <v>32</v>
      </c>
      <c r="P201" s="11" t="s">
        <v>32</v>
      </c>
      <c r="Q201" s="33">
        <v>30.30570487483531</v>
      </c>
      <c r="R201" s="3">
        <v>30.344281949934121</v>
      </c>
      <c r="S201" s="34">
        <v>30.447007905138342</v>
      </c>
      <c r="T201" s="69">
        <f t="shared" si="23"/>
        <v>48</v>
      </c>
      <c r="U201" s="23">
        <f t="shared" si="24"/>
        <v>0.14337073158755845</v>
      </c>
      <c r="V201" s="8">
        <f t="shared" si="25"/>
        <v>0.13558660265211661</v>
      </c>
      <c r="W201" s="11">
        <f t="shared" si="26"/>
        <v>0.1384017785745511</v>
      </c>
      <c r="X201" s="23">
        <f>U201/AVERAGE($U$201:$W$201)</f>
        <v>1.0305566155305823</v>
      </c>
      <c r="Y201" s="23">
        <f>V201/AVERAGE($U$201:$W$201)</f>
        <v>0.97460387342112687</v>
      </c>
      <c r="Z201" s="23">
        <f>W201/AVERAGE($U$201:$W$201)</f>
        <v>0.99483951104829116</v>
      </c>
    </row>
    <row r="202" spans="1:26" x14ac:dyDescent="0.3">
      <c r="A202" s="69" t="s">
        <v>480</v>
      </c>
      <c r="B202" s="23" t="s">
        <v>89</v>
      </c>
      <c r="C202" s="8" t="s">
        <v>90</v>
      </c>
      <c r="D202" s="23" t="s">
        <v>668</v>
      </c>
      <c r="E202" s="23" t="s">
        <v>82</v>
      </c>
      <c r="F202" s="8">
        <v>4</v>
      </c>
      <c r="G202" s="11" t="s">
        <v>492</v>
      </c>
      <c r="H202" s="5">
        <v>6.1749999411404133</v>
      </c>
      <c r="I202" s="6">
        <v>6.028749980032444</v>
      </c>
      <c r="J202" s="35">
        <v>6.0275000520050526</v>
      </c>
      <c r="K202" s="5">
        <v>13.525000214576721</v>
      </c>
      <c r="L202" s="6">
        <v>12.953750230371952</v>
      </c>
      <c r="M202" s="35">
        <v>12.638750113546848</v>
      </c>
      <c r="N202" s="5">
        <v>16.007499769330025</v>
      </c>
      <c r="O202" s="6">
        <v>15.08374996483326</v>
      </c>
      <c r="P202" s="35">
        <v>15.525000169873238</v>
      </c>
      <c r="Q202" s="5">
        <v>95.222361637141105</v>
      </c>
      <c r="R202" s="6">
        <v>101.31287354917529</v>
      </c>
      <c r="S202" s="35">
        <v>101.95361759315821</v>
      </c>
      <c r="T202" s="69">
        <f t="shared" si="23"/>
        <v>72</v>
      </c>
      <c r="U202" s="23">
        <f t="shared" si="24"/>
        <v>0.14667646353422686</v>
      </c>
      <c r="V202" s="8">
        <f t="shared" si="25"/>
        <v>0.16294006199525221</v>
      </c>
      <c r="W202" s="11">
        <f t="shared" si="26"/>
        <v>0.16805725888834663</v>
      </c>
      <c r="X202" s="23">
        <f>U202/AVERAGE($U$209:$W$209)</f>
        <v>0.71754792924232336</v>
      </c>
      <c r="Y202" s="23">
        <f t="shared" ref="Y202:Z209" si="27">V202/AVERAGE($U$209:$W$209)</f>
        <v>0.79711019244765491</v>
      </c>
      <c r="Z202" s="23">
        <f t="shared" si="27"/>
        <v>0.82214375233648018</v>
      </c>
    </row>
    <row r="203" spans="1:26" x14ac:dyDescent="0.3">
      <c r="A203" s="69" t="s">
        <v>480</v>
      </c>
      <c r="B203" s="23" t="s">
        <v>93</v>
      </c>
      <c r="C203" s="8" t="s">
        <v>94</v>
      </c>
      <c r="D203" s="23" t="s">
        <v>667</v>
      </c>
      <c r="E203" s="23" t="s">
        <v>82</v>
      </c>
      <c r="F203" s="8">
        <v>4</v>
      </c>
      <c r="G203" s="11" t="s">
        <v>493</v>
      </c>
      <c r="H203" s="5">
        <v>5.7937500067055225</v>
      </c>
      <c r="I203" s="6">
        <v>5.6599999777972698</v>
      </c>
      <c r="J203" s="35">
        <v>6.0687500052154064</v>
      </c>
      <c r="K203" s="5">
        <v>12.673750147223473</v>
      </c>
      <c r="L203" s="6">
        <v>11.770000122487545</v>
      </c>
      <c r="M203" s="35">
        <v>12.60874979197979</v>
      </c>
      <c r="N203" s="5">
        <v>13.841250166296959</v>
      </c>
      <c r="O203" s="6">
        <v>13.382500037550926</v>
      </c>
      <c r="P203" s="35">
        <v>14.512500166893005</v>
      </c>
      <c r="Q203" s="5">
        <v>132.30475748320097</v>
      </c>
      <c r="R203" s="6">
        <v>133.22069273060475</v>
      </c>
      <c r="S203" s="35">
        <v>138.95626511912036</v>
      </c>
      <c r="T203" s="69">
        <f t="shared" si="23"/>
        <v>72</v>
      </c>
      <c r="U203" s="23">
        <f t="shared" si="24"/>
        <v>0.21748488665268553</v>
      </c>
      <c r="V203" s="8">
        <f t="shared" si="25"/>
        <v>0.23580552843424174</v>
      </c>
      <c r="W203" s="11">
        <f t="shared" si="26"/>
        <v>0.22959629128520612</v>
      </c>
      <c r="X203" s="23">
        <f t="shared" ref="X203:X209" si="28">U203/AVERAGE($U$209:$W$209)</f>
        <v>1.0639459549194843</v>
      </c>
      <c r="Y203" s="23">
        <f t="shared" si="27"/>
        <v>1.1535713675861761</v>
      </c>
      <c r="Z203" s="23">
        <f t="shared" si="27"/>
        <v>1.1231954971083244</v>
      </c>
    </row>
    <row r="204" spans="1:26" x14ac:dyDescent="0.3">
      <c r="A204" s="69" t="s">
        <v>480</v>
      </c>
      <c r="B204" s="23" t="s">
        <v>97</v>
      </c>
      <c r="C204" s="8" t="s">
        <v>98</v>
      </c>
      <c r="D204" s="23" t="s">
        <v>99</v>
      </c>
      <c r="E204" s="23" t="s">
        <v>82</v>
      </c>
      <c r="F204" s="8">
        <v>4</v>
      </c>
      <c r="G204" s="11" t="s">
        <v>494</v>
      </c>
      <c r="H204" s="5">
        <v>5.9312500059604645</v>
      </c>
      <c r="I204" s="6">
        <v>6.2262498773634434</v>
      </c>
      <c r="J204" s="35">
        <v>6.1625001020729542</v>
      </c>
      <c r="K204" s="5">
        <v>12.823750078678131</v>
      </c>
      <c r="L204" s="6">
        <v>12.453749962151051</v>
      </c>
      <c r="M204" s="35">
        <v>12.982499971985817</v>
      </c>
      <c r="N204" s="5">
        <v>14.259999990463257</v>
      </c>
      <c r="O204" s="6">
        <v>13.986249640583992</v>
      </c>
      <c r="P204" s="35">
        <v>14.988749846816063</v>
      </c>
      <c r="Q204" s="5">
        <v>111.30859987782529</v>
      </c>
      <c r="R204" s="6">
        <v>119.10826267562616</v>
      </c>
      <c r="S204" s="35">
        <v>124.77670250458155</v>
      </c>
      <c r="T204" s="69">
        <f t="shared" si="23"/>
        <v>72</v>
      </c>
      <c r="U204" s="23">
        <f t="shared" si="24"/>
        <v>0.18083081391121392</v>
      </c>
      <c r="V204" s="8">
        <f t="shared" si="25"/>
        <v>0.19925100043095342</v>
      </c>
      <c r="W204" s="11">
        <f t="shared" si="26"/>
        <v>0.20023220805865261</v>
      </c>
      <c r="X204" s="23">
        <f t="shared" si="28"/>
        <v>0.88463256434402149</v>
      </c>
      <c r="Y204" s="23">
        <f t="shared" si="27"/>
        <v>0.97474495439637765</v>
      </c>
      <c r="Z204" s="23">
        <f t="shared" si="27"/>
        <v>0.97954506672829267</v>
      </c>
    </row>
    <row r="205" spans="1:26" x14ac:dyDescent="0.3">
      <c r="A205" s="69" t="s">
        <v>480</v>
      </c>
      <c r="B205" s="23" t="s">
        <v>101</v>
      </c>
      <c r="C205" s="8" t="s">
        <v>102</v>
      </c>
      <c r="D205" s="23" t="s">
        <v>666</v>
      </c>
      <c r="E205" s="23" t="s">
        <v>82</v>
      </c>
      <c r="F205" s="8">
        <v>4</v>
      </c>
      <c r="G205" s="11" t="s">
        <v>495</v>
      </c>
      <c r="H205" s="5">
        <v>5.9024999849498272</v>
      </c>
      <c r="I205" s="6">
        <v>6.2537498772144318</v>
      </c>
      <c r="J205" s="35">
        <v>6.2537500634789467</v>
      </c>
      <c r="K205" s="5">
        <v>12.209999933838844</v>
      </c>
      <c r="L205" s="6">
        <v>12.133750133216381</v>
      </c>
      <c r="M205" s="35">
        <v>12.273749895393848</v>
      </c>
      <c r="N205" s="5">
        <v>12.901249900460243</v>
      </c>
      <c r="O205" s="6">
        <v>12.860000319778919</v>
      </c>
      <c r="P205" s="35">
        <v>13.162500038743019</v>
      </c>
      <c r="Q205" s="5">
        <v>96.198105070250463</v>
      </c>
      <c r="R205" s="6">
        <v>99.323615149664022</v>
      </c>
      <c r="S205" s="35">
        <v>103.81803054367747</v>
      </c>
      <c r="T205" s="69">
        <f t="shared" si="23"/>
        <v>72</v>
      </c>
      <c r="U205" s="23">
        <f t="shared" si="24"/>
        <v>0.16413818180369558</v>
      </c>
      <c r="V205" s="8">
        <f t="shared" si="25"/>
        <v>0.17053606342362995</v>
      </c>
      <c r="W205" s="11">
        <f t="shared" si="26"/>
        <v>0.17621962764112606</v>
      </c>
      <c r="X205" s="23">
        <f t="shared" si="28"/>
        <v>0.80297144903114315</v>
      </c>
      <c r="Y205" s="23">
        <f t="shared" si="27"/>
        <v>0.83427017683862248</v>
      </c>
      <c r="Z205" s="23">
        <f t="shared" si="27"/>
        <v>0.86207443143212403</v>
      </c>
    </row>
    <row r="206" spans="1:26" x14ac:dyDescent="0.3">
      <c r="A206" s="69" t="s">
        <v>480</v>
      </c>
      <c r="B206" s="23" t="s">
        <v>105</v>
      </c>
      <c r="C206" s="8" t="s">
        <v>106</v>
      </c>
      <c r="D206" s="23" t="s">
        <v>669</v>
      </c>
      <c r="E206" s="23" t="s">
        <v>82</v>
      </c>
      <c r="F206" s="8">
        <v>4</v>
      </c>
      <c r="G206" s="11" t="s">
        <v>496</v>
      </c>
      <c r="H206" s="5">
        <v>5.3112500347197056</v>
      </c>
      <c r="I206" s="6">
        <v>5.2950000390410423</v>
      </c>
      <c r="J206" s="35">
        <v>5.2575001493096352</v>
      </c>
      <c r="K206" s="5">
        <v>11.432499997317791</v>
      </c>
      <c r="L206" s="6">
        <v>11.634999886155128</v>
      </c>
      <c r="M206" s="35">
        <v>11.545000039041042</v>
      </c>
      <c r="N206" s="5">
        <v>11.902499943971634</v>
      </c>
      <c r="O206" s="6">
        <v>12.354999780654907</v>
      </c>
      <c r="P206" s="35">
        <v>12.016250193119049</v>
      </c>
      <c r="Q206" s="5">
        <v>159.20614905314602</v>
      </c>
      <c r="R206" s="6">
        <v>166.49774587660355</v>
      </c>
      <c r="S206" s="35">
        <v>169.30227244960292</v>
      </c>
      <c r="T206" s="69">
        <f t="shared" si="23"/>
        <v>72</v>
      </c>
      <c r="U206" s="23">
        <f t="shared" si="24"/>
        <v>0.29011981392684927</v>
      </c>
      <c r="V206" s="8">
        <f t="shared" si="25"/>
        <v>0.29812660705080296</v>
      </c>
      <c r="W206" s="11">
        <f t="shared" si="26"/>
        <v>0.30551153435304507</v>
      </c>
      <c r="X206" s="23">
        <f t="shared" si="28"/>
        <v>1.4192793219806625</v>
      </c>
      <c r="Y206" s="23">
        <f t="shared" si="27"/>
        <v>1.4584489180257976</v>
      </c>
      <c r="Z206" s="23">
        <f t="shared" si="27"/>
        <v>1.4945763181938032</v>
      </c>
    </row>
    <row r="207" spans="1:26" x14ac:dyDescent="0.3">
      <c r="A207" s="69" t="s">
        <v>480</v>
      </c>
      <c r="B207" s="23" t="s">
        <v>109</v>
      </c>
      <c r="C207" s="8" t="s">
        <v>110</v>
      </c>
      <c r="D207" s="23" t="s">
        <v>665</v>
      </c>
      <c r="E207" s="23" t="s">
        <v>82</v>
      </c>
      <c r="F207" s="8">
        <v>4</v>
      </c>
      <c r="G207" s="11" t="s">
        <v>497</v>
      </c>
      <c r="H207" s="5">
        <v>6.268750037997961</v>
      </c>
      <c r="I207" s="6">
        <v>6.2112500891089439</v>
      </c>
      <c r="J207" s="35">
        <v>6.5050002187490463</v>
      </c>
      <c r="K207" s="5">
        <v>12.494999729096889</v>
      </c>
      <c r="L207" s="6">
        <v>12.26000003516674</v>
      </c>
      <c r="M207" s="35">
        <v>12.792500294744968</v>
      </c>
      <c r="N207" s="5">
        <v>14.279999956488609</v>
      </c>
      <c r="O207" s="6">
        <v>13.883749768137932</v>
      </c>
      <c r="P207" s="35">
        <v>13.578750193119049</v>
      </c>
      <c r="Q207" s="5">
        <v>122.37801343921799</v>
      </c>
      <c r="R207" s="6">
        <v>126.609047037263</v>
      </c>
      <c r="S207" s="35">
        <v>115.052337202199</v>
      </c>
      <c r="T207" s="69">
        <f t="shared" si="23"/>
        <v>72</v>
      </c>
      <c r="U207" s="23">
        <f t="shared" si="24"/>
        <v>0.20404497814540168</v>
      </c>
      <c r="V207" s="8">
        <f t="shared" si="25"/>
        <v>0.21514587866044044</v>
      </c>
      <c r="W207" s="11">
        <f t="shared" si="26"/>
        <v>0.18736944588518881</v>
      </c>
      <c r="X207" s="23">
        <f t="shared" si="28"/>
        <v>0.99819731136592982</v>
      </c>
      <c r="Y207" s="23">
        <f t="shared" si="27"/>
        <v>1.0525034214626761</v>
      </c>
      <c r="Z207" s="23">
        <f t="shared" si="27"/>
        <v>0.9166198492836295</v>
      </c>
    </row>
    <row r="208" spans="1:26" x14ac:dyDescent="0.3">
      <c r="A208" s="69" t="s">
        <v>480</v>
      </c>
      <c r="B208" s="23" t="s">
        <v>113</v>
      </c>
      <c r="C208" s="8" t="s">
        <v>114</v>
      </c>
      <c r="D208" s="23" t="s">
        <v>670</v>
      </c>
      <c r="E208" s="23" t="s">
        <v>82</v>
      </c>
      <c r="F208" s="8">
        <v>4</v>
      </c>
      <c r="G208" s="11" t="s">
        <v>498</v>
      </c>
      <c r="H208" s="5">
        <v>5.5625000037252903</v>
      </c>
      <c r="I208" s="6">
        <v>6.0337499715387821</v>
      </c>
      <c r="J208" s="35">
        <v>5.8812499046325684</v>
      </c>
      <c r="K208" s="5">
        <v>11.920000053942204</v>
      </c>
      <c r="L208" s="6">
        <v>12.786250188946724</v>
      </c>
      <c r="M208" s="35">
        <v>12.280000187456608</v>
      </c>
      <c r="N208" s="5">
        <v>13.368749991059303</v>
      </c>
      <c r="O208" s="6">
        <v>13.586250320076942</v>
      </c>
      <c r="P208" s="35">
        <v>13.838750123977661</v>
      </c>
      <c r="Q208" s="5">
        <v>108.272061087355</v>
      </c>
      <c r="R208" s="6">
        <v>94.882689065362996</v>
      </c>
      <c r="S208" s="35">
        <v>94.630701282833996</v>
      </c>
      <c r="T208" s="69">
        <f t="shared" si="23"/>
        <v>72</v>
      </c>
      <c r="U208" s="23">
        <f t="shared" si="24"/>
        <v>0.18923388667048682</v>
      </c>
      <c r="V208" s="8">
        <f t="shared" si="25"/>
        <v>0.15459752934996832</v>
      </c>
      <c r="W208" s="11">
        <f t="shared" si="26"/>
        <v>0.16054339684832689</v>
      </c>
      <c r="X208" s="23">
        <f t="shared" si="28"/>
        <v>0.92574077838465962</v>
      </c>
      <c r="Y208" s="23">
        <f t="shared" si="27"/>
        <v>0.75629814339751489</v>
      </c>
      <c r="Z208" s="23">
        <f t="shared" si="27"/>
        <v>0.78538559756838033</v>
      </c>
    </row>
    <row r="209" spans="1:26" x14ac:dyDescent="0.3">
      <c r="A209" s="69" t="s">
        <v>480</v>
      </c>
      <c r="B209" s="23" t="s">
        <v>86</v>
      </c>
      <c r="C209" s="8" t="s">
        <v>86</v>
      </c>
      <c r="D209" s="11" t="s">
        <v>86</v>
      </c>
      <c r="E209" s="23" t="s">
        <v>87</v>
      </c>
      <c r="F209" s="8">
        <v>4</v>
      </c>
      <c r="G209" s="11" t="s">
        <v>491</v>
      </c>
      <c r="H209" s="5">
        <v>5.604999978095293</v>
      </c>
      <c r="I209" s="6">
        <v>5.6487499736249447</v>
      </c>
      <c r="J209" s="35">
        <v>5.6675000116229057</v>
      </c>
      <c r="K209" s="5">
        <v>11.806249991059303</v>
      </c>
      <c r="L209" s="6">
        <v>11.842499859631062</v>
      </c>
      <c r="M209" s="35">
        <v>12.046249955892563</v>
      </c>
      <c r="N209" s="5">
        <v>12.812500074505806</v>
      </c>
      <c r="O209" s="6">
        <v>13.403750211000443</v>
      </c>
      <c r="P209" s="35">
        <v>14.047500118613243</v>
      </c>
      <c r="Q209" s="5">
        <v>115.979466096518</v>
      </c>
      <c r="R209" s="6">
        <v>104.762503359805</v>
      </c>
      <c r="S209" s="35">
        <v>129.68580940745301</v>
      </c>
      <c r="T209" s="69">
        <f t="shared" si="23"/>
        <v>72</v>
      </c>
      <c r="U209" s="23">
        <f t="shared" si="24"/>
        <v>0.20465760752487649</v>
      </c>
      <c r="V209" s="8">
        <f t="shared" si="25"/>
        <v>0.18429826296804072</v>
      </c>
      <c r="W209" s="11">
        <f t="shared" si="26"/>
        <v>0.22428454547109855</v>
      </c>
      <c r="X209" s="23">
        <f t="shared" si="28"/>
        <v>1.0011943221476398</v>
      </c>
      <c r="Y209" s="23">
        <f t="shared" si="27"/>
        <v>0.9015954828009336</v>
      </c>
      <c r="Z209" s="23">
        <f t="shared" si="27"/>
        <v>1.0972101950514264</v>
      </c>
    </row>
    <row r="210" spans="1:26" x14ac:dyDescent="0.3">
      <c r="A210" s="69" t="s">
        <v>480</v>
      </c>
      <c r="B210" s="23" t="s">
        <v>117</v>
      </c>
      <c r="C210" s="8" t="s">
        <v>118</v>
      </c>
      <c r="D210" s="65" t="s">
        <v>119</v>
      </c>
      <c r="E210" s="23" t="s">
        <v>120</v>
      </c>
      <c r="F210" s="8">
        <v>5</v>
      </c>
      <c r="G210" s="63" t="s">
        <v>499</v>
      </c>
      <c r="H210" s="23">
        <v>5.3412499837577343</v>
      </c>
      <c r="I210" s="8">
        <v>5.7312498800456524</v>
      </c>
      <c r="J210" s="11">
        <v>5.4187499918043613</v>
      </c>
      <c r="K210" s="23">
        <v>11.719999834895134</v>
      </c>
      <c r="L210" s="8">
        <v>12.446250021457672</v>
      </c>
      <c r="M210" s="11">
        <v>11.892500147223473</v>
      </c>
      <c r="N210" s="23">
        <v>15.170000120997429</v>
      </c>
      <c r="O210" s="8">
        <v>15.056249871850014</v>
      </c>
      <c r="P210" s="11">
        <v>15.503749996423721</v>
      </c>
      <c r="Q210" s="23">
        <v>116.12925340246275</v>
      </c>
      <c r="R210" s="8">
        <v>114.9881166558652</v>
      </c>
      <c r="S210" s="11">
        <v>118.5731458198315</v>
      </c>
      <c r="T210" s="69">
        <f t="shared" si="23"/>
        <v>72</v>
      </c>
      <c r="U210" s="23">
        <f t="shared" si="24"/>
        <v>0.20642998975829663</v>
      </c>
      <c r="V210" s="8">
        <f t="shared" si="25"/>
        <v>0.19247450111750955</v>
      </c>
      <c r="W210" s="11">
        <f t="shared" si="26"/>
        <v>0.20771695107552479</v>
      </c>
      <c r="X210" s="23">
        <f>U210/AVERAGE($U$254:$W$254)</f>
        <v>1.0596405302717977</v>
      </c>
      <c r="Y210" s="23">
        <f t="shared" ref="Y210:Z225" si="29">V210/AVERAGE($U$254:$W$254)</f>
        <v>0.98800461438166798</v>
      </c>
      <c r="Z210" s="23">
        <f t="shared" si="29"/>
        <v>1.0662467233652706</v>
      </c>
    </row>
    <row r="211" spans="1:26" x14ac:dyDescent="0.3">
      <c r="A211" s="69" t="s">
        <v>480</v>
      </c>
      <c r="B211" s="23" t="s">
        <v>122</v>
      </c>
      <c r="C211" s="8" t="s">
        <v>123</v>
      </c>
      <c r="D211" s="11" t="s">
        <v>122</v>
      </c>
      <c r="E211" s="23" t="s">
        <v>120</v>
      </c>
      <c r="F211" s="8">
        <v>5</v>
      </c>
      <c r="G211" s="11" t="s">
        <v>500</v>
      </c>
      <c r="H211" s="23">
        <v>5.5974999442696571</v>
      </c>
      <c r="I211" s="8">
        <v>6.8799999542534351</v>
      </c>
      <c r="J211" s="11">
        <v>5.5875001475214958</v>
      </c>
      <c r="K211" s="23">
        <v>12.355000153183937</v>
      </c>
      <c r="L211" s="8">
        <v>12.741249799728394</v>
      </c>
      <c r="M211" s="11">
        <v>12.316249869763851</v>
      </c>
      <c r="N211" s="23">
        <v>15.900000184774399</v>
      </c>
      <c r="O211" s="8">
        <v>15.811249986290932</v>
      </c>
      <c r="P211" s="11">
        <v>16.272499784827232</v>
      </c>
      <c r="Q211" s="23">
        <v>110.64703175631887</v>
      </c>
      <c r="R211" s="8">
        <v>109.01816720674012</v>
      </c>
      <c r="S211" s="11">
        <v>105.40265586519767</v>
      </c>
      <c r="T211" s="69">
        <f t="shared" si="23"/>
        <v>72</v>
      </c>
      <c r="U211" s="23">
        <f t="shared" si="24"/>
        <v>0.18657599889460652</v>
      </c>
      <c r="V211" s="8">
        <f t="shared" si="25"/>
        <v>0.17825659589968179</v>
      </c>
      <c r="W211" s="11">
        <f t="shared" si="26"/>
        <v>0.17829198717778114</v>
      </c>
      <c r="X211" s="23">
        <f t="shared" ref="X211:Z254" si="30">U211/AVERAGE($U$254:$W$254)</f>
        <v>0.95772659116127912</v>
      </c>
      <c r="Y211" s="23">
        <f t="shared" si="29"/>
        <v>0.91502166920973149</v>
      </c>
      <c r="Z211" s="23">
        <f t="shared" si="29"/>
        <v>0.9152033387081222</v>
      </c>
    </row>
    <row r="212" spans="1:26" x14ac:dyDescent="0.3">
      <c r="A212" s="69" t="s">
        <v>480</v>
      </c>
      <c r="B212" s="23" t="s">
        <v>125</v>
      </c>
      <c r="C212" s="8" t="s">
        <v>126</v>
      </c>
      <c r="D212" s="11" t="s">
        <v>125</v>
      </c>
      <c r="E212" s="23" t="s">
        <v>120</v>
      </c>
      <c r="F212" s="8">
        <v>5</v>
      </c>
      <c r="G212" s="63" t="s">
        <v>501</v>
      </c>
      <c r="H212" s="23">
        <v>5.7924998924136162</v>
      </c>
      <c r="I212" s="8">
        <v>6.0200000181794167</v>
      </c>
      <c r="J212" s="11">
        <v>5.988750047981739</v>
      </c>
      <c r="K212" s="23">
        <v>13.150000385940075</v>
      </c>
      <c r="L212" s="8">
        <v>13.212499767541885</v>
      </c>
      <c r="M212" s="11">
        <v>13.279999606311321</v>
      </c>
      <c r="N212" s="23">
        <v>15.502500161528587</v>
      </c>
      <c r="O212" s="8">
        <v>15.480000153183937</v>
      </c>
      <c r="P212" s="11">
        <v>15.689999982714653</v>
      </c>
      <c r="Q212" s="23">
        <v>138.22868567725212</v>
      </c>
      <c r="R212" s="8">
        <v>128.61489176928063</v>
      </c>
      <c r="S212" s="11">
        <v>143.69245495787428</v>
      </c>
      <c r="T212" s="69">
        <f t="shared" si="23"/>
        <v>72</v>
      </c>
      <c r="U212" s="23">
        <f t="shared" si="24"/>
        <v>0.21899347531744442</v>
      </c>
      <c r="V212" s="8">
        <f t="shared" si="25"/>
        <v>0.20279863455078154</v>
      </c>
      <c r="W212" s="11">
        <f t="shared" si="26"/>
        <v>0.22542115213615485</v>
      </c>
      <c r="X212" s="23">
        <f t="shared" si="30"/>
        <v>1.1241310556821076</v>
      </c>
      <c r="Y212" s="23">
        <f t="shared" si="29"/>
        <v>1.0410001613883715</v>
      </c>
      <c r="Z212" s="23">
        <f t="shared" si="29"/>
        <v>1.1571254228308387</v>
      </c>
    </row>
    <row r="213" spans="1:26" x14ac:dyDescent="0.3">
      <c r="A213" s="69" t="s">
        <v>480</v>
      </c>
      <c r="B213" s="23" t="s">
        <v>128</v>
      </c>
      <c r="C213" s="8" t="s">
        <v>129</v>
      </c>
      <c r="D213" s="11" t="s">
        <v>128</v>
      </c>
      <c r="E213" s="23" t="s">
        <v>120</v>
      </c>
      <c r="F213" s="8">
        <v>5</v>
      </c>
      <c r="G213" s="11" t="s">
        <v>502</v>
      </c>
      <c r="H213" s="23">
        <v>5.8062500320374966</v>
      </c>
      <c r="I213" s="8">
        <v>6.393750011920929</v>
      </c>
      <c r="J213" s="11">
        <v>5.9500000439584255</v>
      </c>
      <c r="K213" s="23">
        <v>12.329999916255474</v>
      </c>
      <c r="L213" s="8">
        <v>15.056250244379044</v>
      </c>
      <c r="M213" s="11">
        <v>12.817499972879887</v>
      </c>
      <c r="N213" s="23">
        <v>15.607499703764915</v>
      </c>
      <c r="O213" s="8">
        <v>15.720000118017197</v>
      </c>
      <c r="P213" s="11">
        <v>16.291249915957451</v>
      </c>
      <c r="Q213" s="23">
        <v>135.21909786130911</v>
      </c>
      <c r="R213" s="8">
        <v>124.78803499675955</v>
      </c>
      <c r="S213" s="11">
        <v>130.73239792611793</v>
      </c>
      <c r="T213" s="69">
        <f t="shared" si="23"/>
        <v>72</v>
      </c>
      <c r="U213" s="23">
        <f t="shared" si="24"/>
        <v>0.22847238912494605</v>
      </c>
      <c r="V213" s="8">
        <f t="shared" si="25"/>
        <v>0.17266920294910237</v>
      </c>
      <c r="W213" s="11">
        <f t="shared" si="26"/>
        <v>0.21249008224876498</v>
      </c>
      <c r="X213" s="23">
        <f t="shared" si="30"/>
        <v>1.1727879454351042</v>
      </c>
      <c r="Y213" s="23">
        <f t="shared" si="29"/>
        <v>0.88634062322449847</v>
      </c>
      <c r="Z213" s="23">
        <f t="shared" si="29"/>
        <v>1.09074802404058</v>
      </c>
    </row>
    <row r="214" spans="1:26" x14ac:dyDescent="0.3">
      <c r="A214" s="69" t="s">
        <v>480</v>
      </c>
      <c r="B214" s="23" t="s">
        <v>131</v>
      </c>
      <c r="C214" s="8" t="s">
        <v>132</v>
      </c>
      <c r="D214" s="11" t="s">
        <v>131</v>
      </c>
      <c r="E214" s="23" t="s">
        <v>120</v>
      </c>
      <c r="F214" s="8">
        <v>5</v>
      </c>
      <c r="G214" s="63" t="s">
        <v>503</v>
      </c>
      <c r="H214" s="23">
        <v>5.8537499979138374</v>
      </c>
      <c r="I214" s="8">
        <v>6.5687498077750206</v>
      </c>
      <c r="J214" s="11">
        <v>5.9612499549984932</v>
      </c>
      <c r="K214" s="23">
        <v>12.354999780654907</v>
      </c>
      <c r="L214" s="8">
        <v>12.65999972820282</v>
      </c>
      <c r="M214" s="11">
        <v>12.07250002771616</v>
      </c>
      <c r="N214" s="23">
        <v>15.931249782443047</v>
      </c>
      <c r="O214" s="8">
        <v>15.96750020980835</v>
      </c>
      <c r="P214" s="11">
        <v>16.688749939203262</v>
      </c>
      <c r="Q214" s="23">
        <v>104.91255476344783</v>
      </c>
      <c r="R214" s="8">
        <v>95.738053143227475</v>
      </c>
      <c r="S214" s="11">
        <v>97.319039533376539</v>
      </c>
      <c r="T214" s="69">
        <f t="shared" si="23"/>
        <v>72</v>
      </c>
      <c r="U214" s="23">
        <f t="shared" si="24"/>
        <v>0.17690637499328543</v>
      </c>
      <c r="V214" s="8">
        <f t="shared" si="25"/>
        <v>0.15754682595876951</v>
      </c>
      <c r="W214" s="11">
        <f t="shared" si="26"/>
        <v>0.16794201578993331</v>
      </c>
      <c r="X214" s="23">
        <f t="shared" si="30"/>
        <v>0.90809075379907278</v>
      </c>
      <c r="Y214" s="23">
        <f t="shared" si="29"/>
        <v>0.80871486937076464</v>
      </c>
      <c r="Z214" s="23">
        <f t="shared" si="29"/>
        <v>0.86207516105061099</v>
      </c>
    </row>
    <row r="215" spans="1:26" x14ac:dyDescent="0.3">
      <c r="A215" s="69" t="s">
        <v>480</v>
      </c>
      <c r="B215" s="23" t="s">
        <v>134</v>
      </c>
      <c r="C215" s="8" t="s">
        <v>135</v>
      </c>
      <c r="D215" s="11" t="s">
        <v>134</v>
      </c>
      <c r="E215" s="23" t="s">
        <v>120</v>
      </c>
      <c r="F215" s="8">
        <v>5</v>
      </c>
      <c r="G215" s="11" t="s">
        <v>504</v>
      </c>
      <c r="H215" s="23">
        <v>6.1599999666213989</v>
      </c>
      <c r="I215" s="8">
        <v>6.4124999567866325</v>
      </c>
      <c r="J215" s="11">
        <v>6.2574999406933784</v>
      </c>
      <c r="K215" s="23">
        <v>12.951250188052654</v>
      </c>
      <c r="L215" s="8">
        <v>12.726250104606152</v>
      </c>
      <c r="M215" s="11">
        <v>12.704999931156635</v>
      </c>
      <c r="N215" s="23">
        <v>15.428749844431877</v>
      </c>
      <c r="O215" s="8">
        <v>15.996250137686729</v>
      </c>
      <c r="P215" s="11">
        <v>16.158749908208847</v>
      </c>
      <c r="Q215" s="23">
        <v>133.53829293583928</v>
      </c>
      <c r="R215" s="8">
        <v>124.8910939727803</v>
      </c>
      <c r="S215" s="11">
        <v>129.44214906027219</v>
      </c>
      <c r="T215" s="69">
        <f t="shared" si="23"/>
        <v>72</v>
      </c>
      <c r="U215" s="23">
        <f t="shared" si="24"/>
        <v>0.2148092059917931</v>
      </c>
      <c r="V215" s="8">
        <f t="shared" si="25"/>
        <v>0.20445125388175864</v>
      </c>
      <c r="W215" s="11">
        <f t="shared" si="26"/>
        <v>0.21225591919465425</v>
      </c>
      <c r="X215" s="23">
        <f t="shared" si="30"/>
        <v>1.1026524838320355</v>
      </c>
      <c r="Y215" s="23">
        <f t="shared" si="29"/>
        <v>1.0494833397592294</v>
      </c>
      <c r="Z215" s="23">
        <f t="shared" si="29"/>
        <v>1.0895460249360969</v>
      </c>
    </row>
    <row r="216" spans="1:26" x14ac:dyDescent="0.3">
      <c r="A216" s="69" t="s">
        <v>480</v>
      </c>
      <c r="B216" s="23" t="s">
        <v>137</v>
      </c>
      <c r="C216" s="8" t="s">
        <v>138</v>
      </c>
      <c r="D216" s="11" t="s">
        <v>137</v>
      </c>
      <c r="E216" s="23" t="s">
        <v>120</v>
      </c>
      <c r="F216" s="8">
        <v>5</v>
      </c>
      <c r="G216" s="63" t="s">
        <v>505</v>
      </c>
      <c r="H216" s="23">
        <v>5.5187499150633812</v>
      </c>
      <c r="I216" s="8">
        <v>6.0925000347197056</v>
      </c>
      <c r="J216" s="11">
        <v>5.5624999105930328</v>
      </c>
      <c r="K216" s="23">
        <v>11.418750137090683</v>
      </c>
      <c r="L216" s="8">
        <v>11.613750085234642</v>
      </c>
      <c r="M216" s="11">
        <v>11.494999937713146</v>
      </c>
      <c r="N216" s="23">
        <v>14.782499894499779</v>
      </c>
      <c r="O216" s="8">
        <v>15.110000222921371</v>
      </c>
      <c r="P216" s="11">
        <v>15.903749689459801</v>
      </c>
      <c r="Q216" s="23">
        <v>107.39660661049902</v>
      </c>
      <c r="R216" s="8">
        <v>104.46173946856773</v>
      </c>
      <c r="S216" s="11">
        <v>102.03775372650681</v>
      </c>
      <c r="T216" s="69">
        <f t="shared" si="23"/>
        <v>72</v>
      </c>
      <c r="U216" s="23">
        <f t="shared" si="24"/>
        <v>0.19594345068622876</v>
      </c>
      <c r="V216" s="8">
        <f t="shared" si="25"/>
        <v>0.18738876099076354</v>
      </c>
      <c r="W216" s="11">
        <f t="shared" si="26"/>
        <v>0.18493140908983796</v>
      </c>
      <c r="X216" s="23">
        <f t="shared" si="30"/>
        <v>1.0058113272763771</v>
      </c>
      <c r="Y216" s="23">
        <f t="shared" si="29"/>
        <v>0.96189863835057088</v>
      </c>
      <c r="Z216" s="23">
        <f t="shared" si="29"/>
        <v>0.94928462972512828</v>
      </c>
    </row>
    <row r="217" spans="1:26" x14ac:dyDescent="0.3">
      <c r="A217" s="69" t="s">
        <v>480</v>
      </c>
      <c r="B217" s="23" t="s">
        <v>140</v>
      </c>
      <c r="C217" s="8" t="s">
        <v>141</v>
      </c>
      <c r="D217" s="11" t="s">
        <v>140</v>
      </c>
      <c r="E217" s="23" t="s">
        <v>120</v>
      </c>
      <c r="F217" s="8">
        <v>5</v>
      </c>
      <c r="G217" s="11" t="s">
        <v>506</v>
      </c>
      <c r="H217" s="23">
        <v>5.9012499637901783</v>
      </c>
      <c r="I217" s="8">
        <v>6.067500077188015</v>
      </c>
      <c r="J217" s="11">
        <v>6.0187500901520252</v>
      </c>
      <c r="K217" s="23">
        <v>11.739999800920486</v>
      </c>
      <c r="L217" s="8">
        <v>11.912499740719795</v>
      </c>
      <c r="M217" s="11">
        <v>12.968750298023224</v>
      </c>
      <c r="N217" s="23">
        <v>16.087499633431435</v>
      </c>
      <c r="O217" s="8">
        <v>15.635000169277191</v>
      </c>
      <c r="P217" s="11">
        <v>17.233750224113464</v>
      </c>
      <c r="Q217" s="23">
        <v>103.48712637718731</v>
      </c>
      <c r="R217" s="8">
        <v>92.063201555411553</v>
      </c>
      <c r="S217" s="11">
        <v>100.92844588464031</v>
      </c>
      <c r="T217" s="69">
        <f t="shared" si="23"/>
        <v>72</v>
      </c>
      <c r="U217" s="23">
        <f t="shared" si="24"/>
        <v>0.18364410869544423</v>
      </c>
      <c r="V217" s="8">
        <f t="shared" si="25"/>
        <v>0.16100595235957163</v>
      </c>
      <c r="W217" s="11">
        <f t="shared" si="26"/>
        <v>0.16213404588802277</v>
      </c>
      <c r="X217" s="23">
        <f t="shared" si="30"/>
        <v>0.94267669609042903</v>
      </c>
      <c r="Y217" s="23">
        <f t="shared" si="29"/>
        <v>0.82647115826035322</v>
      </c>
      <c r="Z217" s="23">
        <f t="shared" si="29"/>
        <v>0.83226185575582745</v>
      </c>
    </row>
    <row r="218" spans="1:26" x14ac:dyDescent="0.3">
      <c r="A218" s="69" t="s">
        <v>480</v>
      </c>
      <c r="B218" s="23" t="s">
        <v>143</v>
      </c>
      <c r="C218" s="8" t="s">
        <v>144</v>
      </c>
      <c r="D218" s="11" t="s">
        <v>143</v>
      </c>
      <c r="E218" s="23" t="s">
        <v>120</v>
      </c>
      <c r="F218" s="8">
        <v>5</v>
      </c>
      <c r="G218" s="63" t="s">
        <v>507</v>
      </c>
      <c r="H218" s="23">
        <v>5.5449999868869781</v>
      </c>
      <c r="I218" s="8">
        <v>5.9874999336898327</v>
      </c>
      <c r="J218" s="11">
        <v>5.7587499730288982</v>
      </c>
      <c r="K218" s="23">
        <v>11.856249906122684</v>
      </c>
      <c r="L218" s="8">
        <v>11.653750017285347</v>
      </c>
      <c r="M218" s="11">
        <v>12.651249952614307</v>
      </c>
      <c r="N218" s="23">
        <v>15.31750001013279</v>
      </c>
      <c r="O218" s="8">
        <v>15.081249922513962</v>
      </c>
      <c r="P218" s="11">
        <v>16.414999961853027</v>
      </c>
      <c r="Q218" s="23">
        <v>117.92090213869086</v>
      </c>
      <c r="R218" s="8">
        <v>109.71513285806869</v>
      </c>
      <c r="S218" s="11">
        <v>113.95955022683087</v>
      </c>
      <c r="T218" s="69">
        <f t="shared" si="23"/>
        <v>72</v>
      </c>
      <c r="U218" s="23">
        <f t="shared" si="24"/>
        <v>0.20720594460092054</v>
      </c>
      <c r="V218" s="8">
        <f t="shared" si="25"/>
        <v>0.19613703152657305</v>
      </c>
      <c r="W218" s="11">
        <f t="shared" si="26"/>
        <v>0.18766187572649326</v>
      </c>
      <c r="X218" s="23">
        <f t="shared" si="30"/>
        <v>1.0636236395180254</v>
      </c>
      <c r="Y218" s="23">
        <f t="shared" si="29"/>
        <v>1.006805010919694</v>
      </c>
      <c r="Z218" s="23">
        <f t="shared" si="29"/>
        <v>0.96330058311514966</v>
      </c>
    </row>
    <row r="219" spans="1:26" x14ac:dyDescent="0.3">
      <c r="A219" s="69" t="s">
        <v>480</v>
      </c>
      <c r="B219" s="23" t="s">
        <v>64</v>
      </c>
      <c r="C219" s="8" t="s">
        <v>65</v>
      </c>
      <c r="D219" s="11" t="s">
        <v>64</v>
      </c>
      <c r="E219" s="23" t="s">
        <v>120</v>
      </c>
      <c r="F219" s="8">
        <v>5</v>
      </c>
      <c r="G219" s="11" t="s">
        <v>508</v>
      </c>
      <c r="H219" s="23">
        <v>5.6499999947845936</v>
      </c>
      <c r="I219" s="8">
        <v>6.034999992698431</v>
      </c>
      <c r="J219" s="11">
        <v>5.6162499822676182</v>
      </c>
      <c r="K219" s="23">
        <v>11.62125002592802</v>
      </c>
      <c r="L219" s="8">
        <v>11.711250059306622</v>
      </c>
      <c r="M219" s="11">
        <v>11.858750134706497</v>
      </c>
      <c r="N219" s="23">
        <v>16.5949998646974</v>
      </c>
      <c r="O219" s="8">
        <v>17.142500028014101</v>
      </c>
      <c r="P219" s="11">
        <v>16.344999894499779</v>
      </c>
      <c r="Q219" s="23">
        <v>48.835262475696702</v>
      </c>
      <c r="R219" s="8">
        <v>42.524591056383699</v>
      </c>
      <c r="S219" s="11">
        <v>50.009301360984999</v>
      </c>
      <c r="T219" s="69">
        <f t="shared" si="23"/>
        <v>72</v>
      </c>
      <c r="U219" s="23">
        <f t="shared" si="24"/>
        <v>8.7546632187338172E-2</v>
      </c>
      <c r="V219" s="8">
        <f t="shared" si="25"/>
        <v>7.5647687126047039E-2</v>
      </c>
      <c r="W219" s="11">
        <f t="shared" si="26"/>
        <v>8.7855839206136266E-2</v>
      </c>
      <c r="X219" s="23">
        <f t="shared" si="30"/>
        <v>0.44939187306612077</v>
      </c>
      <c r="Y219" s="23">
        <f t="shared" si="29"/>
        <v>0.3883125479681318</v>
      </c>
      <c r="Z219" s="23">
        <f t="shared" si="29"/>
        <v>0.45097908570778494</v>
      </c>
    </row>
    <row r="220" spans="1:26" x14ac:dyDescent="0.3">
      <c r="A220" s="69" t="s">
        <v>480</v>
      </c>
      <c r="B220" s="23" t="s">
        <v>56</v>
      </c>
      <c r="C220" s="8" t="s">
        <v>57</v>
      </c>
      <c r="D220" s="11" t="s">
        <v>58</v>
      </c>
      <c r="E220" s="23" t="s">
        <v>120</v>
      </c>
      <c r="F220" s="8">
        <v>5</v>
      </c>
      <c r="G220" s="63" t="s">
        <v>509</v>
      </c>
      <c r="H220" s="23">
        <v>4.5400000177323818</v>
      </c>
      <c r="I220" s="8">
        <v>4.8937499523162842</v>
      </c>
      <c r="J220" s="11">
        <v>5.1250000484287739</v>
      </c>
      <c r="K220" s="23">
        <v>10.524999909102917</v>
      </c>
      <c r="L220" s="8">
        <v>10.237499885261059</v>
      </c>
      <c r="M220" s="11">
        <v>11.073749884963036</v>
      </c>
      <c r="N220" s="23">
        <v>11.859999969601631</v>
      </c>
      <c r="O220" s="8">
        <v>11.88374999910593</v>
      </c>
      <c r="P220" s="11">
        <v>13.108750060200691</v>
      </c>
      <c r="Q220" s="23">
        <v>128.80074141283214</v>
      </c>
      <c r="R220" s="8">
        <v>119.69187686325341</v>
      </c>
      <c r="S220" s="11">
        <v>132.22469604666233</v>
      </c>
      <c r="T220" s="69">
        <f t="shared" si="23"/>
        <v>72</v>
      </c>
      <c r="U220" s="23">
        <f t="shared" si="24"/>
        <v>0.2549500049984052</v>
      </c>
      <c r="V220" s="8">
        <f t="shared" si="25"/>
        <v>0.2435732157198319</v>
      </c>
      <c r="W220" s="11">
        <f t="shared" si="26"/>
        <v>0.24875775561622174</v>
      </c>
      <c r="X220" s="23">
        <f t="shared" si="30"/>
        <v>1.3087020873547746</v>
      </c>
      <c r="Y220" s="23">
        <f t="shared" si="29"/>
        <v>1.2503030774141495</v>
      </c>
      <c r="Z220" s="23">
        <f t="shared" si="29"/>
        <v>1.2769162096022502</v>
      </c>
    </row>
    <row r="221" spans="1:26" x14ac:dyDescent="0.3">
      <c r="A221" s="69" t="s">
        <v>480</v>
      </c>
      <c r="B221" s="23" t="s">
        <v>148</v>
      </c>
      <c r="C221" s="8" t="s">
        <v>149</v>
      </c>
      <c r="D221" s="11" t="s">
        <v>150</v>
      </c>
      <c r="E221" s="23" t="s">
        <v>120</v>
      </c>
      <c r="F221" s="8">
        <v>5</v>
      </c>
      <c r="G221" s="11" t="s">
        <v>510</v>
      </c>
      <c r="H221" s="23">
        <v>3.8787500001490116</v>
      </c>
      <c r="I221" s="8">
        <v>5.5800000205636024</v>
      </c>
      <c r="J221" s="11">
        <v>5.6812499649822712</v>
      </c>
      <c r="K221" s="23">
        <v>8.8875001296401024</v>
      </c>
      <c r="L221" s="8">
        <v>12.328749895095825</v>
      </c>
      <c r="M221" s="11">
        <v>12.159999832510948</v>
      </c>
      <c r="N221" s="23">
        <v>12.344999983906746</v>
      </c>
      <c r="O221" s="8">
        <v>14.748749881982803</v>
      </c>
      <c r="P221" s="11">
        <v>15.644999593496323</v>
      </c>
      <c r="Q221" s="23">
        <v>87.729453013609842</v>
      </c>
      <c r="R221" s="8">
        <v>114.44047569669476</v>
      </c>
      <c r="S221" s="11">
        <v>118.89772650680493</v>
      </c>
      <c r="T221" s="69">
        <f t="shared" si="23"/>
        <v>72</v>
      </c>
      <c r="U221" s="23">
        <f t="shared" si="24"/>
        <v>0.20564803500684173</v>
      </c>
      <c r="V221" s="8">
        <f t="shared" si="25"/>
        <v>0.19338348148037787</v>
      </c>
      <c r="W221" s="11">
        <f t="shared" si="26"/>
        <v>0.20370361866857692</v>
      </c>
      <c r="X221" s="23">
        <f t="shared" si="30"/>
        <v>1.0556266224648438</v>
      </c>
      <c r="Y221" s="23">
        <f t="shared" si="29"/>
        <v>0.99267056643080676</v>
      </c>
      <c r="Z221" s="23">
        <f t="shared" si="29"/>
        <v>1.0456456000263865</v>
      </c>
    </row>
    <row r="222" spans="1:26" x14ac:dyDescent="0.3">
      <c r="A222" s="69" t="s">
        <v>480</v>
      </c>
      <c r="B222" s="23" t="s">
        <v>152</v>
      </c>
      <c r="C222" s="8" t="s">
        <v>153</v>
      </c>
      <c r="D222" s="11" t="s">
        <v>152</v>
      </c>
      <c r="E222" s="23" t="s">
        <v>120</v>
      </c>
      <c r="F222" s="8">
        <v>5</v>
      </c>
      <c r="G222" s="63" t="s">
        <v>511</v>
      </c>
      <c r="H222" s="23">
        <v>5.5712500587105751</v>
      </c>
      <c r="I222" s="8">
        <v>5.6499999947845936</v>
      </c>
      <c r="J222" s="11">
        <v>5.6025000289082527</v>
      </c>
      <c r="K222" s="23">
        <v>11.862499825656414</v>
      </c>
      <c r="L222" s="8">
        <v>12.073749676346779</v>
      </c>
      <c r="M222" s="11">
        <v>11.91875021904707</v>
      </c>
      <c r="N222" s="23">
        <v>16.4312495589256</v>
      </c>
      <c r="O222" s="8">
        <v>17.490000367164601</v>
      </c>
      <c r="P222" s="11">
        <v>18.759999722242299</v>
      </c>
      <c r="Q222" s="23">
        <v>155.0866208684381</v>
      </c>
      <c r="R222" s="8">
        <v>142.93064938431627</v>
      </c>
      <c r="S222" s="11">
        <v>151.24821386908619</v>
      </c>
      <c r="T222" s="69">
        <f t="shared" si="23"/>
        <v>72</v>
      </c>
      <c r="U222" s="23">
        <f t="shared" si="24"/>
        <v>0.27236849867887553</v>
      </c>
      <c r="V222" s="8">
        <f t="shared" si="25"/>
        <v>0.24662776204535666</v>
      </c>
      <c r="W222" s="11">
        <f t="shared" si="26"/>
        <v>0.26437373027336519</v>
      </c>
      <c r="X222" s="23">
        <f t="shared" si="30"/>
        <v>1.3981142018528703</v>
      </c>
      <c r="Y222" s="23">
        <f t="shared" si="29"/>
        <v>1.2659825874112609</v>
      </c>
      <c r="Z222" s="23">
        <f t="shared" si="29"/>
        <v>1.3570756849080488</v>
      </c>
    </row>
    <row r="223" spans="1:26" x14ac:dyDescent="0.3">
      <c r="A223" s="69" t="s">
        <v>480</v>
      </c>
      <c r="B223" s="23" t="s">
        <v>155</v>
      </c>
      <c r="C223" s="8" t="s">
        <v>156</v>
      </c>
      <c r="D223" s="11" t="s">
        <v>157</v>
      </c>
      <c r="E223" s="23" t="s">
        <v>120</v>
      </c>
      <c r="F223" s="8">
        <v>5</v>
      </c>
      <c r="G223" s="11" t="s">
        <v>512</v>
      </c>
      <c r="H223" s="23">
        <v>6.022499967366457</v>
      </c>
      <c r="I223" s="8">
        <v>6.6862499341368675</v>
      </c>
      <c r="J223" s="11">
        <v>6.1512500047683716</v>
      </c>
      <c r="K223" s="23">
        <v>12.52250000834465</v>
      </c>
      <c r="L223" s="8">
        <v>13.786249980330467</v>
      </c>
      <c r="M223" s="11">
        <v>13.079999759793282</v>
      </c>
      <c r="N223" s="23">
        <v>16.139999777078629</v>
      </c>
      <c r="O223" s="8">
        <v>15.747499838471413</v>
      </c>
      <c r="P223" s="11">
        <v>16.347500309348106</v>
      </c>
      <c r="Q223" s="23">
        <v>131.9274517174336</v>
      </c>
      <c r="R223" s="8">
        <v>130.60116526247569</v>
      </c>
      <c r="S223" s="11">
        <v>131.69206351263773</v>
      </c>
      <c r="T223" s="69">
        <f t="shared" si="23"/>
        <v>72</v>
      </c>
      <c r="U223" s="23">
        <f t="shared" si="24"/>
        <v>0.21948401482252075</v>
      </c>
      <c r="V223" s="8">
        <f t="shared" si="25"/>
        <v>0.19736024034939839</v>
      </c>
      <c r="W223" s="11">
        <f t="shared" si="26"/>
        <v>0.20975418248452982</v>
      </c>
      <c r="X223" s="23">
        <f t="shared" si="30"/>
        <v>1.1266490790656623</v>
      </c>
      <c r="Y223" s="23">
        <f t="shared" si="29"/>
        <v>1.0130839515289021</v>
      </c>
      <c r="Z223" s="23">
        <f t="shared" si="29"/>
        <v>1.0767041814751703</v>
      </c>
    </row>
    <row r="224" spans="1:26" x14ac:dyDescent="0.3">
      <c r="A224" s="69" t="s">
        <v>480</v>
      </c>
      <c r="B224" s="23" t="s">
        <v>159</v>
      </c>
      <c r="C224" s="8" t="s">
        <v>160</v>
      </c>
      <c r="D224" s="11" t="s">
        <v>161</v>
      </c>
      <c r="E224" s="23" t="s">
        <v>120</v>
      </c>
      <c r="F224" s="8">
        <v>5</v>
      </c>
      <c r="G224" s="63" t="s">
        <v>513</v>
      </c>
      <c r="H224" s="23">
        <v>5.4924999363720417</v>
      </c>
      <c r="I224" s="8">
        <v>6.106249988079071</v>
      </c>
      <c r="J224" s="11">
        <v>5.6475000455975533</v>
      </c>
      <c r="K224" s="23">
        <v>11.354999989271164</v>
      </c>
      <c r="L224" s="8">
        <v>11.593749932944775</v>
      </c>
      <c r="M224" s="11">
        <v>11.655000321567</v>
      </c>
      <c r="N224" s="23">
        <v>16.662500306963899</v>
      </c>
      <c r="O224" s="8">
        <v>16.027500152587798</v>
      </c>
      <c r="P224" s="11">
        <v>15.782500013709001</v>
      </c>
      <c r="Q224" s="23">
        <v>187.591764095917</v>
      </c>
      <c r="R224" s="8">
        <v>190.32755670771201</v>
      </c>
      <c r="S224" s="11">
        <v>182.80207388204801</v>
      </c>
      <c r="T224" s="69">
        <f t="shared" si="23"/>
        <v>72</v>
      </c>
      <c r="U224" s="23">
        <f t="shared" si="24"/>
        <v>0.34417981115728047</v>
      </c>
      <c r="V224" s="8">
        <f t="shared" si="25"/>
        <v>0.34200819013210593</v>
      </c>
      <c r="W224" s="11">
        <f t="shared" si="26"/>
        <v>0.32675902480775754</v>
      </c>
      <c r="X224" s="23">
        <f t="shared" si="30"/>
        <v>1.766733981000403</v>
      </c>
      <c r="Y224" s="23">
        <f t="shared" si="29"/>
        <v>1.7555866779493314</v>
      </c>
      <c r="Z224" s="23">
        <f t="shared" si="29"/>
        <v>1.6773100978389777</v>
      </c>
    </row>
    <row r="225" spans="1:26" x14ac:dyDescent="0.3">
      <c r="A225" s="69" t="s">
        <v>480</v>
      </c>
      <c r="B225" s="23" t="s">
        <v>163</v>
      </c>
      <c r="C225" s="8" t="s">
        <v>164</v>
      </c>
      <c r="D225" s="11" t="s">
        <v>165</v>
      </c>
      <c r="E225" s="23" t="s">
        <v>120</v>
      </c>
      <c r="F225" s="8">
        <v>5</v>
      </c>
      <c r="G225" s="11" t="s">
        <v>514</v>
      </c>
      <c r="H225" s="23">
        <v>5.6762499734759331</v>
      </c>
      <c r="I225" s="8">
        <v>6.966250017285347</v>
      </c>
      <c r="J225" s="11">
        <v>6.0912500135600567</v>
      </c>
      <c r="K225" s="23">
        <v>11.61624975502491</v>
      </c>
      <c r="L225" s="8">
        <v>13.130000233650208</v>
      </c>
      <c r="M225" s="11">
        <v>14.857500232756138</v>
      </c>
      <c r="N225" s="23">
        <v>15.608749911189079</v>
      </c>
      <c r="O225" s="8">
        <v>16.584999859333038</v>
      </c>
      <c r="P225" s="11">
        <v>19.047499820590019</v>
      </c>
      <c r="Q225" s="23">
        <v>96.140441996111463</v>
      </c>
      <c r="R225" s="8">
        <v>99.118576798444593</v>
      </c>
      <c r="S225" s="11">
        <v>98.036132209980565</v>
      </c>
      <c r="T225" s="69">
        <f t="shared" si="23"/>
        <v>72</v>
      </c>
      <c r="U225" s="23">
        <f t="shared" si="24"/>
        <v>0.17242448442127989</v>
      </c>
      <c r="V225" s="8">
        <f t="shared" si="25"/>
        <v>0.15727115866116961</v>
      </c>
      <c r="W225" s="11">
        <f t="shared" si="26"/>
        <v>0.13746723130034796</v>
      </c>
      <c r="X225" s="23">
        <f t="shared" si="30"/>
        <v>0.88508444106369533</v>
      </c>
      <c r="Y225" s="23">
        <f t="shared" si="29"/>
        <v>0.80729982186846438</v>
      </c>
      <c r="Z225" s="23">
        <f t="shared" si="29"/>
        <v>0.70564286730165915</v>
      </c>
    </row>
    <row r="226" spans="1:26" x14ac:dyDescent="0.3">
      <c r="A226" s="69" t="s">
        <v>480</v>
      </c>
      <c r="B226" s="23" t="s">
        <v>167</v>
      </c>
      <c r="C226" s="8" t="s">
        <v>168</v>
      </c>
      <c r="D226" s="11" t="s">
        <v>169</v>
      </c>
      <c r="E226" s="23" t="s">
        <v>120</v>
      </c>
      <c r="F226" s="8">
        <v>5</v>
      </c>
      <c r="G226" s="63" t="s">
        <v>515</v>
      </c>
      <c r="H226" s="23">
        <v>6.0362501069903374</v>
      </c>
      <c r="I226" s="8">
        <v>5.9524999931454659</v>
      </c>
      <c r="J226" s="11">
        <v>5.767500028014183</v>
      </c>
      <c r="K226" s="23">
        <v>13.242499902844429</v>
      </c>
      <c r="L226" s="8">
        <v>13.63999992609024</v>
      </c>
      <c r="M226" s="11">
        <v>14.508750103414059</v>
      </c>
      <c r="N226" s="23">
        <v>14.561250060796738</v>
      </c>
      <c r="O226" s="8">
        <v>14.648749679327011</v>
      </c>
      <c r="P226" s="11">
        <v>16.001249849796295</v>
      </c>
      <c r="Q226" s="23">
        <v>172.07271160077769</v>
      </c>
      <c r="R226" s="8">
        <v>164.98224368114063</v>
      </c>
      <c r="S226" s="11">
        <v>168.40343227478934</v>
      </c>
      <c r="T226" s="69">
        <f t="shared" si="23"/>
        <v>72</v>
      </c>
      <c r="U226" s="23">
        <f t="shared" si="24"/>
        <v>0.27070781080991563</v>
      </c>
      <c r="V226" s="8">
        <f t="shared" si="25"/>
        <v>0.25198900992044554</v>
      </c>
      <c r="W226" s="11">
        <f t="shared" si="26"/>
        <v>0.24181303103652929</v>
      </c>
      <c r="X226" s="23">
        <f t="shared" si="30"/>
        <v>1.3895896062931794</v>
      </c>
      <c r="Y226" s="23">
        <f t="shared" si="30"/>
        <v>1.293502791950967</v>
      </c>
      <c r="Z226" s="23">
        <f t="shared" si="30"/>
        <v>1.2412677476475058</v>
      </c>
    </row>
    <row r="227" spans="1:26" x14ac:dyDescent="0.3">
      <c r="A227" s="69" t="s">
        <v>480</v>
      </c>
      <c r="B227" s="23" t="s">
        <v>171</v>
      </c>
      <c r="C227" s="8" t="s">
        <v>172</v>
      </c>
      <c r="D227" s="11" t="s">
        <v>173</v>
      </c>
      <c r="E227" s="23" t="s">
        <v>120</v>
      </c>
      <c r="F227" s="8">
        <v>5</v>
      </c>
      <c r="G227" s="11" t="s">
        <v>516</v>
      </c>
      <c r="H227" s="23">
        <v>5.8175000362098217</v>
      </c>
      <c r="I227" s="8">
        <v>6.7737501114606857</v>
      </c>
      <c r="J227" s="11">
        <v>6.3087500631809235</v>
      </c>
      <c r="K227" s="23">
        <v>12.390000186860561</v>
      </c>
      <c r="L227" s="8">
        <v>13.582500070333481</v>
      </c>
      <c r="M227" s="11">
        <v>12.901249900460243</v>
      </c>
      <c r="N227" s="23">
        <v>16.111249849200249</v>
      </c>
      <c r="O227" s="8">
        <v>16.874999925494194</v>
      </c>
      <c r="P227" s="11">
        <v>17.275000363588333</v>
      </c>
      <c r="Q227" s="23">
        <v>105.2431198963059</v>
      </c>
      <c r="R227" s="8">
        <v>111.34161114711601</v>
      </c>
      <c r="S227" s="11">
        <v>104.31923655217108</v>
      </c>
      <c r="T227" s="69">
        <f t="shared" si="23"/>
        <v>72</v>
      </c>
      <c r="U227" s="23">
        <f t="shared" si="24"/>
        <v>0.1769624668904278</v>
      </c>
      <c r="V227" s="8">
        <f t="shared" si="25"/>
        <v>0.17077981865538092</v>
      </c>
      <c r="W227" s="11">
        <f t="shared" si="26"/>
        <v>0.16845789709822603</v>
      </c>
      <c r="X227" s="23">
        <f t="shared" si="30"/>
        <v>0.90837868312417458</v>
      </c>
      <c r="Y227" s="23">
        <f t="shared" si="30"/>
        <v>0.87664208970603841</v>
      </c>
      <c r="Z227" s="23">
        <f t="shared" si="30"/>
        <v>0.86472326825497925</v>
      </c>
    </row>
    <row r="228" spans="1:26" x14ac:dyDescent="0.3">
      <c r="A228" s="69" t="s">
        <v>480</v>
      </c>
      <c r="B228" s="23" t="s">
        <v>175</v>
      </c>
      <c r="C228" s="8" t="s">
        <v>176</v>
      </c>
      <c r="D228" s="11" t="s">
        <v>177</v>
      </c>
      <c r="E228" s="23" t="s">
        <v>30</v>
      </c>
      <c r="F228" s="8">
        <v>5</v>
      </c>
      <c r="G228" s="63" t="s">
        <v>517</v>
      </c>
      <c r="H228" s="23">
        <v>6.3374998979270458</v>
      </c>
      <c r="I228" s="8">
        <v>6.0624998994171619</v>
      </c>
      <c r="J228" s="11">
        <v>5.7749999687075615</v>
      </c>
      <c r="K228" s="23">
        <v>13.283749669790268</v>
      </c>
      <c r="L228" s="8">
        <v>12.808750011026859</v>
      </c>
      <c r="M228" s="11">
        <v>12.201250344514847</v>
      </c>
      <c r="N228" s="23">
        <v>15.863750129938126</v>
      </c>
      <c r="O228" s="8">
        <v>16.008749976754189</v>
      </c>
      <c r="P228" s="11">
        <v>15.794999897480011</v>
      </c>
      <c r="Q228" s="23">
        <v>142.84483084899546</v>
      </c>
      <c r="R228" s="8">
        <v>150.21088788075178</v>
      </c>
      <c r="S228" s="11">
        <v>136.95298898250161</v>
      </c>
      <c r="T228" s="69">
        <f t="shared" si="23"/>
        <v>72</v>
      </c>
      <c r="U228" s="23">
        <f t="shared" si="24"/>
        <v>0.22402815846406451</v>
      </c>
      <c r="V228" s="8">
        <f t="shared" si="25"/>
        <v>0.24431685330899697</v>
      </c>
      <c r="W228" s="11">
        <f t="shared" si="26"/>
        <v>0.23384384304117264</v>
      </c>
      <c r="X228" s="23">
        <f t="shared" si="30"/>
        <v>1.1499749474803949</v>
      </c>
      <c r="Y228" s="23">
        <f t="shared" si="30"/>
        <v>1.254120296657514</v>
      </c>
      <c r="Z228" s="23">
        <f t="shared" si="30"/>
        <v>1.2003605393338166</v>
      </c>
    </row>
    <row r="229" spans="1:26" x14ac:dyDescent="0.3">
      <c r="A229" s="69" t="s">
        <v>480</v>
      </c>
      <c r="B229" s="23" t="s">
        <v>179</v>
      </c>
      <c r="C229" s="8" t="s">
        <v>180</v>
      </c>
      <c r="D229" s="11" t="s">
        <v>181</v>
      </c>
      <c r="E229" s="23" t="s">
        <v>30</v>
      </c>
      <c r="F229" s="8">
        <v>5</v>
      </c>
      <c r="G229" s="11" t="s">
        <v>518</v>
      </c>
      <c r="H229" s="23">
        <v>5.801249947398901</v>
      </c>
      <c r="I229" s="8">
        <v>5.3212500177323818</v>
      </c>
      <c r="J229" s="11">
        <v>5.156250111758709</v>
      </c>
      <c r="K229" s="23">
        <v>12.178750149905682</v>
      </c>
      <c r="L229" s="8">
        <v>12.164999917149544</v>
      </c>
      <c r="M229" s="11">
        <v>11.506249941885471</v>
      </c>
      <c r="N229" s="23">
        <v>12.481249868869781</v>
      </c>
      <c r="O229" s="8">
        <v>13.086249679327011</v>
      </c>
      <c r="P229" s="11">
        <v>12.307500280439854</v>
      </c>
      <c r="Q229" s="23">
        <v>193.64522877511342</v>
      </c>
      <c r="R229" s="8">
        <v>197.8641931302657</v>
      </c>
      <c r="S229" s="11">
        <v>180.74968762151653</v>
      </c>
      <c r="T229" s="69">
        <f t="shared" si="23"/>
        <v>72</v>
      </c>
      <c r="U229" s="23">
        <f t="shared" si="24"/>
        <v>0.33125530533301673</v>
      </c>
      <c r="V229" s="8">
        <f t="shared" si="25"/>
        <v>0.33885497067720166</v>
      </c>
      <c r="W229" s="11">
        <f t="shared" si="26"/>
        <v>0.32726722530224078</v>
      </c>
      <c r="X229" s="23">
        <f t="shared" si="30"/>
        <v>1.7003902766715928</v>
      </c>
      <c r="Y229" s="23">
        <f t="shared" si="30"/>
        <v>1.739400661861406</v>
      </c>
      <c r="Z229" s="23">
        <f t="shared" si="30"/>
        <v>1.6799187781091707</v>
      </c>
    </row>
    <row r="230" spans="1:26" x14ac:dyDescent="0.3">
      <c r="A230" s="69" t="s">
        <v>480</v>
      </c>
      <c r="B230" s="23" t="s">
        <v>183</v>
      </c>
      <c r="C230" s="8" t="s">
        <v>184</v>
      </c>
      <c r="D230" s="11" t="s">
        <v>185</v>
      </c>
      <c r="E230" s="23" t="s">
        <v>30</v>
      </c>
      <c r="F230" s="8">
        <v>5</v>
      </c>
      <c r="G230" s="63" t="s">
        <v>519</v>
      </c>
      <c r="H230" s="23">
        <v>6.0137500055134296</v>
      </c>
      <c r="I230" s="8">
        <v>5.4462499916553497</v>
      </c>
      <c r="J230" s="11">
        <v>5.4137500002980232</v>
      </c>
      <c r="K230" s="23">
        <v>12.217500060796738</v>
      </c>
      <c r="L230" s="8">
        <v>11.363749951124191</v>
      </c>
      <c r="M230" s="11">
        <v>10.913749970495701</v>
      </c>
      <c r="N230" s="23">
        <v>13.33874985575676</v>
      </c>
      <c r="O230" s="8">
        <v>13.524999842047691</v>
      </c>
      <c r="P230" s="11">
        <v>12.902499735355377</v>
      </c>
      <c r="Q230" s="23">
        <v>205.46917563188595</v>
      </c>
      <c r="R230" s="8">
        <v>199.01596111471156</v>
      </c>
      <c r="S230" s="11">
        <v>187.41703046014257</v>
      </c>
      <c r="T230" s="69">
        <f t="shared" si="23"/>
        <v>72</v>
      </c>
      <c r="U230" s="23">
        <f t="shared" si="24"/>
        <v>0.35036691666569469</v>
      </c>
      <c r="V230" s="8">
        <f t="shared" si="25"/>
        <v>0.36485894835677191</v>
      </c>
      <c r="W230" s="11">
        <f t="shared" si="26"/>
        <v>0.35776167481160415</v>
      </c>
      <c r="X230" s="23">
        <f t="shared" si="30"/>
        <v>1.7984934543669424</v>
      </c>
      <c r="Y230" s="23">
        <f t="shared" si="30"/>
        <v>1.8728835377256108</v>
      </c>
      <c r="Z230" s="23">
        <f t="shared" si="30"/>
        <v>1.8364520157762507</v>
      </c>
    </row>
    <row r="231" spans="1:26" x14ac:dyDescent="0.3">
      <c r="A231" s="69" t="s">
        <v>480</v>
      </c>
      <c r="B231" s="23" t="s">
        <v>187</v>
      </c>
      <c r="C231" s="8" t="s">
        <v>188</v>
      </c>
      <c r="D231" s="11" t="s">
        <v>189</v>
      </c>
      <c r="E231" s="23" t="s">
        <v>30</v>
      </c>
      <c r="F231" s="8">
        <v>5</v>
      </c>
      <c r="G231" s="11" t="s">
        <v>520</v>
      </c>
      <c r="H231" s="23">
        <v>4.042499978095293</v>
      </c>
      <c r="I231" s="8">
        <v>4.0437499992549419</v>
      </c>
      <c r="J231" s="11">
        <v>3.7612499669194221</v>
      </c>
      <c r="K231" s="23">
        <v>9.2225000262260437</v>
      </c>
      <c r="L231" s="8">
        <v>9.257500059902668</v>
      </c>
      <c r="M231" s="11">
        <v>9.0537501499056816</v>
      </c>
      <c r="N231" s="23">
        <v>12.578750029206276</v>
      </c>
      <c r="O231" s="8">
        <v>12.596249952912331</v>
      </c>
      <c r="P231" s="11">
        <v>11.91249992698431</v>
      </c>
      <c r="Q231" s="23">
        <v>128.35080362929358</v>
      </c>
      <c r="R231" s="8">
        <v>129.07997278029811</v>
      </c>
      <c r="S231" s="11">
        <v>119.9276902138691</v>
      </c>
      <c r="T231" s="69">
        <f t="shared" si="23"/>
        <v>72</v>
      </c>
      <c r="U231" s="23">
        <f t="shared" si="24"/>
        <v>0.2899403706160254</v>
      </c>
      <c r="V231" s="8">
        <f t="shared" si="25"/>
        <v>0.29048512905090035</v>
      </c>
      <c r="W231" s="11">
        <f t="shared" si="26"/>
        <v>0.2759622813479452</v>
      </c>
      <c r="X231" s="23">
        <f t="shared" si="30"/>
        <v>1.4883136332395168</v>
      </c>
      <c r="Y231" s="23">
        <f t="shared" si="30"/>
        <v>1.4911099716856737</v>
      </c>
      <c r="Z231" s="23">
        <f t="shared" si="30"/>
        <v>1.416561704454568</v>
      </c>
    </row>
    <row r="232" spans="1:26" x14ac:dyDescent="0.3">
      <c r="A232" s="69" t="s">
        <v>480</v>
      </c>
      <c r="B232" s="23" t="s">
        <v>191</v>
      </c>
      <c r="C232" s="8" t="s">
        <v>192</v>
      </c>
      <c r="D232" s="11" t="s">
        <v>193</v>
      </c>
      <c r="E232" s="23" t="s">
        <v>30</v>
      </c>
      <c r="F232" s="8">
        <v>5</v>
      </c>
      <c r="G232" s="63" t="s">
        <v>521</v>
      </c>
      <c r="H232" s="23">
        <v>6.6362500190734863</v>
      </c>
      <c r="I232" s="8">
        <v>6.257499847561121</v>
      </c>
      <c r="J232" s="11">
        <v>6.01624995470047</v>
      </c>
      <c r="K232" s="23">
        <v>13.059999793767929</v>
      </c>
      <c r="L232" s="8">
        <v>13.123749941587448</v>
      </c>
      <c r="M232" s="11">
        <v>12.30625007301569</v>
      </c>
      <c r="N232" s="23">
        <v>14.272499829530716</v>
      </c>
      <c r="O232" s="8">
        <v>14.577499777078629</v>
      </c>
      <c r="P232" s="11">
        <v>14.229999855160713</v>
      </c>
      <c r="Q232" s="23">
        <v>191.43645625405054</v>
      </c>
      <c r="R232" s="8">
        <v>194.28364744005182</v>
      </c>
      <c r="S232" s="11">
        <v>187.18478289047312</v>
      </c>
      <c r="T232" s="69">
        <f t="shared" si="23"/>
        <v>72</v>
      </c>
      <c r="U232" s="23">
        <f t="shared" si="24"/>
        <v>0.30537975254761246</v>
      </c>
      <c r="V232" s="8">
        <f t="shared" si="25"/>
        <v>0.30841611630439358</v>
      </c>
      <c r="W232" s="11">
        <f t="shared" si="26"/>
        <v>0.316886375114042</v>
      </c>
      <c r="X232" s="23">
        <f t="shared" si="30"/>
        <v>1.5675666278078517</v>
      </c>
      <c r="Y232" s="23">
        <f t="shared" si="30"/>
        <v>1.5831528035621636</v>
      </c>
      <c r="Z232" s="23">
        <f t="shared" si="30"/>
        <v>1.6266320942752248</v>
      </c>
    </row>
    <row r="233" spans="1:26" x14ac:dyDescent="0.3">
      <c r="A233" s="69" t="s">
        <v>480</v>
      </c>
      <c r="B233" s="23" t="s">
        <v>195</v>
      </c>
      <c r="C233" s="8" t="s">
        <v>196</v>
      </c>
      <c r="D233" s="11" t="s">
        <v>195</v>
      </c>
      <c r="E233" s="23" t="s">
        <v>30</v>
      </c>
      <c r="F233" s="8">
        <v>5</v>
      </c>
      <c r="G233" s="11" t="s">
        <v>522</v>
      </c>
      <c r="H233" s="23">
        <v>5.9425000101327896</v>
      </c>
      <c r="I233" s="8">
        <v>5.637500062584877</v>
      </c>
      <c r="J233" s="11">
        <v>5.5174998939037323</v>
      </c>
      <c r="K233" s="23">
        <v>12.473749741911888</v>
      </c>
      <c r="L233" s="8">
        <v>12.776250019669533</v>
      </c>
      <c r="M233" s="11">
        <v>12.01499979943037</v>
      </c>
      <c r="N233" s="23">
        <v>15.431250259280205</v>
      </c>
      <c r="O233" s="8">
        <v>15.351250022649765</v>
      </c>
      <c r="P233" s="11">
        <v>14.835000038146973</v>
      </c>
      <c r="Q233" s="23">
        <v>137.75241218405702</v>
      </c>
      <c r="R233" s="8">
        <v>142.0563383020091</v>
      </c>
      <c r="S233" s="11">
        <v>137.735414128321</v>
      </c>
      <c r="T233" s="69">
        <f t="shared" si="23"/>
        <v>72</v>
      </c>
      <c r="U233" s="23">
        <f t="shared" si="24"/>
        <v>0.23007050645392527</v>
      </c>
      <c r="V233" s="8">
        <f t="shared" si="25"/>
        <v>0.23164129094235372</v>
      </c>
      <c r="W233" s="11">
        <f t="shared" si="26"/>
        <v>0.23882545503463617</v>
      </c>
      <c r="X233" s="23">
        <f t="shared" si="30"/>
        <v>1.1809913556852276</v>
      </c>
      <c r="Y233" s="23">
        <f t="shared" si="30"/>
        <v>1.1890544617785328</v>
      </c>
      <c r="Z233" s="23">
        <f t="shared" si="30"/>
        <v>1.2259320078037941</v>
      </c>
    </row>
    <row r="234" spans="1:26" x14ac:dyDescent="0.3">
      <c r="A234" s="69" t="s">
        <v>480</v>
      </c>
      <c r="B234" s="23" t="s">
        <v>198</v>
      </c>
      <c r="C234" s="8" t="s">
        <v>199</v>
      </c>
      <c r="D234" s="11" t="s">
        <v>200</v>
      </c>
      <c r="E234" s="23" t="s">
        <v>30</v>
      </c>
      <c r="F234" s="8">
        <v>5</v>
      </c>
      <c r="G234" s="63" t="s">
        <v>523</v>
      </c>
      <c r="H234" s="23">
        <v>7.1399999782443047</v>
      </c>
      <c r="I234" s="8">
        <v>6.6312499344348907</v>
      </c>
      <c r="J234" s="11">
        <v>7.0149999111890793</v>
      </c>
      <c r="K234" s="23">
        <v>13.699999824166298</v>
      </c>
      <c r="L234" s="8">
        <v>13.315000012516975</v>
      </c>
      <c r="M234" s="11">
        <v>13.912500441074371</v>
      </c>
      <c r="N234" s="23">
        <v>16.518749669194221</v>
      </c>
      <c r="O234" s="8">
        <v>16.963750123977661</v>
      </c>
      <c r="P234" s="11">
        <v>16.393750160932541</v>
      </c>
      <c r="Q234" s="23">
        <v>156.82353856124399</v>
      </c>
      <c r="R234" s="8">
        <v>159.15003629293599</v>
      </c>
      <c r="S234" s="11">
        <v>156.949987038237</v>
      </c>
      <c r="T234" s="69">
        <f t="shared" si="23"/>
        <v>72</v>
      </c>
      <c r="U234" s="23">
        <f t="shared" si="24"/>
        <v>0.23847862009429407</v>
      </c>
      <c r="V234" s="8">
        <f t="shared" si="25"/>
        <v>0.2490143261724316</v>
      </c>
      <c r="W234" s="11">
        <f t="shared" si="26"/>
        <v>0.23502542986280281</v>
      </c>
      <c r="X234" s="23">
        <f t="shared" si="30"/>
        <v>1.2241516445894607</v>
      </c>
      <c r="Y234" s="23">
        <f t="shared" si="30"/>
        <v>1.2782332302568202</v>
      </c>
      <c r="Z234" s="23">
        <f t="shared" si="30"/>
        <v>1.206425827074713</v>
      </c>
    </row>
    <row r="235" spans="1:26" x14ac:dyDescent="0.3">
      <c r="A235" s="69" t="s">
        <v>480</v>
      </c>
      <c r="B235" s="23" t="s">
        <v>202</v>
      </c>
      <c r="C235" s="8" t="s">
        <v>203</v>
      </c>
      <c r="D235" s="11" t="s">
        <v>204</v>
      </c>
      <c r="E235" s="23" t="s">
        <v>30</v>
      </c>
      <c r="F235" s="8">
        <v>5</v>
      </c>
      <c r="G235" s="11" t="s">
        <v>524</v>
      </c>
      <c r="H235" s="23">
        <v>5.4137500002980232</v>
      </c>
      <c r="I235" s="8">
        <v>5.1787499338388443</v>
      </c>
      <c r="J235" s="11">
        <v>5.5249999277293682</v>
      </c>
      <c r="K235" s="23">
        <v>13.837500102818012</v>
      </c>
      <c r="L235" s="8">
        <v>11.788749881088734</v>
      </c>
      <c r="M235" s="11">
        <v>12.405000068247318</v>
      </c>
      <c r="N235" s="23">
        <v>14.593750238418579</v>
      </c>
      <c r="O235" s="8">
        <v>15.273750200867653</v>
      </c>
      <c r="P235" s="11">
        <v>14.723749831318855</v>
      </c>
      <c r="Q235" s="23">
        <v>137.17514322747891</v>
      </c>
      <c r="R235" s="8">
        <v>141.28444458846403</v>
      </c>
      <c r="S235" s="11">
        <v>136.94579909267659</v>
      </c>
      <c r="T235" s="69">
        <f t="shared" si="23"/>
        <v>72</v>
      </c>
      <c r="U235" s="23">
        <f t="shared" si="24"/>
        <v>0.2065268627043273</v>
      </c>
      <c r="V235" s="8">
        <f t="shared" si="25"/>
        <v>0.24968092109987983</v>
      </c>
      <c r="W235" s="11">
        <f t="shared" si="26"/>
        <v>0.22999092828707499</v>
      </c>
      <c r="X235" s="23">
        <f t="shared" si="30"/>
        <v>1.0601377957128371</v>
      </c>
      <c r="Y235" s="23">
        <f t="shared" si="30"/>
        <v>1.2816549763084708</v>
      </c>
      <c r="Z235" s="23">
        <f t="shared" si="30"/>
        <v>1.1805828673109464</v>
      </c>
    </row>
    <row r="236" spans="1:26" x14ac:dyDescent="0.3">
      <c r="A236" s="69" t="s">
        <v>480</v>
      </c>
      <c r="B236" s="23" t="s">
        <v>206</v>
      </c>
      <c r="C236" s="8" t="s">
        <v>207</v>
      </c>
      <c r="D236" s="11" t="s">
        <v>208</v>
      </c>
      <c r="E236" s="23" t="s">
        <v>30</v>
      </c>
      <c r="F236" s="8">
        <v>5</v>
      </c>
      <c r="G236" s="63" t="s">
        <v>525</v>
      </c>
      <c r="H236" s="23">
        <v>7.0762498304247856</v>
      </c>
      <c r="I236" s="8">
        <v>6.4762499183416367</v>
      </c>
      <c r="J236" s="11">
        <v>6.7787500098347664</v>
      </c>
      <c r="K236" s="23">
        <v>12.969999946653843</v>
      </c>
      <c r="L236" s="8">
        <v>13.216250389814377</v>
      </c>
      <c r="M236" s="11">
        <v>13.06999996304512</v>
      </c>
      <c r="N236" s="23">
        <v>15.517499670386314</v>
      </c>
      <c r="O236" s="8">
        <v>15.72749987244606</v>
      </c>
      <c r="P236" s="11">
        <v>15.743749588727951</v>
      </c>
      <c r="Q236" s="23">
        <v>140.78501101749839</v>
      </c>
      <c r="R236" s="8">
        <v>146.39576020738821</v>
      </c>
      <c r="S236" s="11">
        <v>137.60643681140635</v>
      </c>
      <c r="T236" s="69">
        <f t="shared" si="23"/>
        <v>72</v>
      </c>
      <c r="U236" s="23">
        <f t="shared" si="24"/>
        <v>0.22613886468220426</v>
      </c>
      <c r="V236" s="8">
        <f t="shared" si="25"/>
        <v>0.23076981602420221</v>
      </c>
      <c r="W236" s="11">
        <f t="shared" si="26"/>
        <v>0.21934206388753319</v>
      </c>
      <c r="X236" s="23">
        <f t="shared" si="30"/>
        <v>1.160809564382989</v>
      </c>
      <c r="Y236" s="23">
        <f t="shared" si="30"/>
        <v>1.1845810316075103</v>
      </c>
      <c r="Z236" s="23">
        <f t="shared" si="30"/>
        <v>1.125920420578594</v>
      </c>
    </row>
    <row r="237" spans="1:26" x14ac:dyDescent="0.3">
      <c r="A237" s="69" t="s">
        <v>480</v>
      </c>
      <c r="B237" s="23" t="s">
        <v>210</v>
      </c>
      <c r="C237" s="8" t="s">
        <v>211</v>
      </c>
      <c r="D237" s="11" t="s">
        <v>211</v>
      </c>
      <c r="E237" s="23" t="s">
        <v>30</v>
      </c>
      <c r="F237" s="8">
        <v>5</v>
      </c>
      <c r="G237" s="11" t="s">
        <v>526</v>
      </c>
      <c r="H237" s="23">
        <v>3.5162500105798244</v>
      </c>
      <c r="I237" s="8">
        <v>3.4337499178946018</v>
      </c>
      <c r="J237" s="11">
        <v>3.5424998961389065</v>
      </c>
      <c r="K237" s="23">
        <v>8.6637500673532486</v>
      </c>
      <c r="L237" s="8">
        <v>8.4174999967217445</v>
      </c>
      <c r="M237" s="11">
        <v>8.9025001972913742</v>
      </c>
      <c r="N237" s="23">
        <v>11.001249961555004</v>
      </c>
      <c r="O237" s="8">
        <v>10.129999928176403</v>
      </c>
      <c r="P237" s="11">
        <v>10.176249966025352</v>
      </c>
      <c r="Q237" s="23">
        <v>158.57906804925469</v>
      </c>
      <c r="R237" s="8">
        <v>156.44340894361633</v>
      </c>
      <c r="S237" s="11">
        <v>145.91457679844461</v>
      </c>
      <c r="T237" s="69">
        <f t="shared" si="23"/>
        <v>72</v>
      </c>
      <c r="U237" s="23">
        <f t="shared" si="24"/>
        <v>0.3813280113895014</v>
      </c>
      <c r="V237" s="8">
        <f t="shared" si="25"/>
        <v>0.3871978244840717</v>
      </c>
      <c r="W237" s="11">
        <f t="shared" si="26"/>
        <v>0.34146441440789438</v>
      </c>
      <c r="X237" s="23">
        <f t="shared" si="30"/>
        <v>1.9574220619270333</v>
      </c>
      <c r="Y237" s="23">
        <f t="shared" si="30"/>
        <v>1.9875528189328806</v>
      </c>
      <c r="Z237" s="23">
        <f t="shared" si="30"/>
        <v>1.7527953839254975</v>
      </c>
    </row>
    <row r="238" spans="1:26" x14ac:dyDescent="0.3">
      <c r="A238" s="69" t="s">
        <v>480</v>
      </c>
      <c r="B238" s="23" t="s">
        <v>213</v>
      </c>
      <c r="C238" s="8" t="s">
        <v>214</v>
      </c>
      <c r="D238" s="11" t="s">
        <v>215</v>
      </c>
      <c r="E238" s="23" t="s">
        <v>30</v>
      </c>
      <c r="F238" s="8">
        <v>5</v>
      </c>
      <c r="G238" s="63" t="s">
        <v>527</v>
      </c>
      <c r="H238" s="23">
        <v>7.057500071823597</v>
      </c>
      <c r="I238" s="8">
        <v>6.3474998809397221</v>
      </c>
      <c r="J238" s="11">
        <v>6.7275000736117363</v>
      </c>
      <c r="K238" s="23">
        <v>12.687500193715096</v>
      </c>
      <c r="L238" s="8">
        <v>12.350000068545341</v>
      </c>
      <c r="M238" s="11">
        <v>12.942499853670597</v>
      </c>
      <c r="N238" s="23">
        <v>14.847500249743462</v>
      </c>
      <c r="O238" s="8">
        <v>14.494999870657921</v>
      </c>
      <c r="P238" s="11">
        <v>14.557500183582306</v>
      </c>
      <c r="Q238" s="23">
        <v>167.13065586519767</v>
      </c>
      <c r="R238" s="8">
        <v>166.64443940375892</v>
      </c>
      <c r="S238" s="11">
        <v>163.63989112119248</v>
      </c>
      <c r="T238" s="69">
        <f t="shared" si="23"/>
        <v>72</v>
      </c>
      <c r="U238" s="23">
        <f t="shared" si="24"/>
        <v>0.27443457030117563</v>
      </c>
      <c r="V238" s="8">
        <f t="shared" si="25"/>
        <v>0.28111409999804987</v>
      </c>
      <c r="W238" s="11">
        <f t="shared" si="26"/>
        <v>0.26340849425555996</v>
      </c>
      <c r="X238" s="23">
        <f t="shared" si="30"/>
        <v>1.4087197017223272</v>
      </c>
      <c r="Y238" s="23">
        <f t="shared" si="30"/>
        <v>1.4430068728753624</v>
      </c>
      <c r="Z238" s="23">
        <f t="shared" si="30"/>
        <v>1.3521209629369719</v>
      </c>
    </row>
    <row r="239" spans="1:26" x14ac:dyDescent="0.3">
      <c r="A239" s="69" t="s">
        <v>480</v>
      </c>
      <c r="B239" s="23" t="s">
        <v>217</v>
      </c>
      <c r="C239" s="8" t="s">
        <v>218</v>
      </c>
      <c r="D239" s="11" t="s">
        <v>219</v>
      </c>
      <c r="E239" s="23" t="s">
        <v>30</v>
      </c>
      <c r="F239" s="8">
        <v>5</v>
      </c>
      <c r="G239" s="11" t="s">
        <v>528</v>
      </c>
      <c r="H239" s="23">
        <v>4.4612499885261059</v>
      </c>
      <c r="I239" s="8">
        <v>4.2600000277161598</v>
      </c>
      <c r="J239" s="11">
        <v>4.6974999830126762</v>
      </c>
      <c r="K239" s="23">
        <v>10.227500088512897</v>
      </c>
      <c r="L239" s="8">
        <v>9.8099999129772186</v>
      </c>
      <c r="M239" s="11">
        <v>10.094999894499779</v>
      </c>
      <c r="N239" s="23">
        <v>13.320000097155571</v>
      </c>
      <c r="O239" s="8">
        <v>13.530000299215317</v>
      </c>
      <c r="P239" s="11">
        <v>13.49249966442585</v>
      </c>
      <c r="Q239" s="23">
        <v>104.03962670123136</v>
      </c>
      <c r="R239" s="8">
        <v>107.32383538561244</v>
      </c>
      <c r="S239" s="11">
        <v>102.53064031108231</v>
      </c>
      <c r="T239" s="69">
        <f t="shared" si="23"/>
        <v>72</v>
      </c>
      <c r="U239" s="23">
        <f t="shared" si="24"/>
        <v>0.21192786156773122</v>
      </c>
      <c r="V239" s="8">
        <f t="shared" si="25"/>
        <v>0.22792184067631516</v>
      </c>
      <c r="W239" s="11">
        <f t="shared" si="26"/>
        <v>0.21159534708313396</v>
      </c>
      <c r="X239" s="23">
        <f t="shared" si="30"/>
        <v>1.0878620488909521</v>
      </c>
      <c r="Y239" s="23">
        <f t="shared" si="30"/>
        <v>1.1699618858556284</v>
      </c>
      <c r="Z239" s="23">
        <f t="shared" si="30"/>
        <v>1.0861551950312283</v>
      </c>
    </row>
    <row r="240" spans="1:26" x14ac:dyDescent="0.3">
      <c r="A240" s="69" t="s">
        <v>480</v>
      </c>
      <c r="B240" s="23" t="s">
        <v>221</v>
      </c>
      <c r="C240" s="8" t="s">
        <v>222</v>
      </c>
      <c r="D240" s="11" t="s">
        <v>223</v>
      </c>
      <c r="E240" s="23" t="s">
        <v>30</v>
      </c>
      <c r="F240" s="8">
        <v>5</v>
      </c>
      <c r="G240" s="63" t="s">
        <v>529</v>
      </c>
      <c r="H240" s="23">
        <v>6.3812499865889549</v>
      </c>
      <c r="I240" s="8">
        <v>5.618750024586916</v>
      </c>
      <c r="J240" s="11">
        <v>5.7800000533461571</v>
      </c>
      <c r="K240" s="23">
        <v>12.850000336766243</v>
      </c>
      <c r="L240" s="8">
        <v>12.121249921619892</v>
      </c>
      <c r="M240" s="11">
        <v>12.721250019967556</v>
      </c>
      <c r="N240" s="23">
        <v>13.821250200271606</v>
      </c>
      <c r="O240" s="8">
        <v>13.843750208616257</v>
      </c>
      <c r="P240" s="11">
        <v>13.122500479221344</v>
      </c>
      <c r="Q240" s="23">
        <v>176.54939338950095</v>
      </c>
      <c r="R240" s="8">
        <v>175.84514841218407</v>
      </c>
      <c r="S240" s="11">
        <v>167.08488528839922</v>
      </c>
      <c r="T240" s="69">
        <f t="shared" si="23"/>
        <v>72</v>
      </c>
      <c r="U240" s="23">
        <f t="shared" si="24"/>
        <v>0.28623441757876888</v>
      </c>
      <c r="V240" s="8">
        <f t="shared" si="25"/>
        <v>0.30223290630995558</v>
      </c>
      <c r="W240" s="11">
        <f t="shared" si="26"/>
        <v>0.27363153029075216</v>
      </c>
      <c r="X240" s="23">
        <f t="shared" si="30"/>
        <v>1.4692903409060778</v>
      </c>
      <c r="Y240" s="23">
        <f t="shared" si="30"/>
        <v>1.551413326536758</v>
      </c>
      <c r="Z240" s="23">
        <f t="shared" si="30"/>
        <v>1.404597559665977</v>
      </c>
    </row>
    <row r="241" spans="1:26" x14ac:dyDescent="0.3">
      <c r="A241" s="69" t="s">
        <v>480</v>
      </c>
      <c r="B241" s="23" t="s">
        <v>225</v>
      </c>
      <c r="C241" s="8" t="s">
        <v>226</v>
      </c>
      <c r="D241" s="11" t="s">
        <v>227</v>
      </c>
      <c r="E241" s="23" t="s">
        <v>30</v>
      </c>
      <c r="F241" s="8">
        <v>5</v>
      </c>
      <c r="G241" s="11" t="s">
        <v>530</v>
      </c>
      <c r="H241" s="23">
        <v>4.5412500388920307</v>
      </c>
      <c r="I241" s="8">
        <v>4.1762500070035458</v>
      </c>
      <c r="J241" s="11">
        <v>4.1250000707805157</v>
      </c>
      <c r="K241" s="23">
        <v>10.001249983906746</v>
      </c>
      <c r="L241" s="8">
        <v>9.7962500527501106</v>
      </c>
      <c r="M241" s="11">
        <v>9.2987500131130219</v>
      </c>
      <c r="N241" s="23">
        <v>13.239999860525131</v>
      </c>
      <c r="O241" s="8">
        <v>13.011250272393227</v>
      </c>
      <c r="P241" s="11">
        <v>12.792500108480453</v>
      </c>
      <c r="Q241" s="23">
        <v>103.32213220998054</v>
      </c>
      <c r="R241" s="8">
        <v>110.9322721970188</v>
      </c>
      <c r="S241" s="11">
        <v>95.108968243681147</v>
      </c>
      <c r="T241" s="69">
        <f t="shared" si="23"/>
        <v>72</v>
      </c>
      <c r="U241" s="23">
        <f t="shared" si="24"/>
        <v>0.21522753900812128</v>
      </c>
      <c r="V241" s="8">
        <f t="shared" si="25"/>
        <v>0.23591568116983339</v>
      </c>
      <c r="W241" s="11">
        <f t="shared" si="26"/>
        <v>0.21308636490020894</v>
      </c>
      <c r="X241" s="23">
        <f t="shared" si="30"/>
        <v>1.1047998589288963</v>
      </c>
      <c r="Y241" s="23">
        <f t="shared" si="30"/>
        <v>1.210995639669102</v>
      </c>
      <c r="Z241" s="23">
        <f t="shared" si="30"/>
        <v>1.0938088451243178</v>
      </c>
    </row>
    <row r="242" spans="1:26" x14ac:dyDescent="0.3">
      <c r="A242" s="69" t="s">
        <v>480</v>
      </c>
      <c r="B242" s="23" t="s">
        <v>229</v>
      </c>
      <c r="C242" s="8" t="s">
        <v>230</v>
      </c>
      <c r="D242" s="11" t="s">
        <v>231</v>
      </c>
      <c r="E242" s="23" t="s">
        <v>30</v>
      </c>
      <c r="F242" s="8">
        <v>5</v>
      </c>
      <c r="G242" s="63" t="s">
        <v>531</v>
      </c>
      <c r="H242" s="23">
        <v>6.4725000411272049</v>
      </c>
      <c r="I242" s="8">
        <v>5.8675000444054604</v>
      </c>
      <c r="J242" s="11">
        <v>5.8000000193715096</v>
      </c>
      <c r="K242" s="23">
        <v>12.388749979436398</v>
      </c>
      <c r="L242" s="8">
        <v>12.241249717772007</v>
      </c>
      <c r="M242" s="11">
        <v>12.171249836683273</v>
      </c>
      <c r="N242" s="23">
        <v>14.771249890327454</v>
      </c>
      <c r="O242" s="8">
        <v>15.0712501257658</v>
      </c>
      <c r="P242" s="11">
        <v>14.644999802112579</v>
      </c>
      <c r="Q242" s="23">
        <v>131.21735709656514</v>
      </c>
      <c r="R242" s="8">
        <v>130.80629293583925</v>
      </c>
      <c r="S242" s="11">
        <v>117.91928321451716</v>
      </c>
      <c r="T242" s="69">
        <f t="shared" si="23"/>
        <v>72</v>
      </c>
      <c r="U242" s="23">
        <f t="shared" si="24"/>
        <v>0.22065946476031295</v>
      </c>
      <c r="V242" s="8">
        <f t="shared" si="25"/>
        <v>0.22261870034998169</v>
      </c>
      <c r="W242" s="11">
        <f t="shared" si="26"/>
        <v>0.20184054773336443</v>
      </c>
      <c r="X242" s="23">
        <f t="shared" si="30"/>
        <v>1.132682865129637</v>
      </c>
      <c r="Y242" s="23">
        <f t="shared" si="30"/>
        <v>1.1427399573263415</v>
      </c>
      <c r="Z242" s="23">
        <f t="shared" si="30"/>
        <v>1.036082137488632</v>
      </c>
    </row>
    <row r="243" spans="1:26" x14ac:dyDescent="0.3">
      <c r="A243" s="69" t="s">
        <v>480</v>
      </c>
      <c r="B243" s="23" t="s">
        <v>233</v>
      </c>
      <c r="C243" s="8" t="s">
        <v>234</v>
      </c>
      <c r="D243" s="11" t="s">
        <v>233</v>
      </c>
      <c r="E243" s="23" t="s">
        <v>30</v>
      </c>
      <c r="F243" s="8">
        <v>5</v>
      </c>
      <c r="G243" s="11" t="s">
        <v>532</v>
      </c>
      <c r="H243" s="23">
        <v>4.576250072568655</v>
      </c>
      <c r="I243" s="8">
        <v>4.4900000095367432</v>
      </c>
      <c r="J243" s="11">
        <v>4.2237500660121441</v>
      </c>
      <c r="K243" s="23">
        <v>10.142499953508377</v>
      </c>
      <c r="L243" s="8">
        <v>10.203750059008598</v>
      </c>
      <c r="M243" s="11">
        <v>9.973750077188015</v>
      </c>
      <c r="N243" s="23">
        <v>11.318750120699406</v>
      </c>
      <c r="O243" s="8">
        <v>10.814999975264072</v>
      </c>
      <c r="P243" s="11">
        <v>10.693749971687794</v>
      </c>
      <c r="Q243" s="23">
        <v>162.31917952041476</v>
      </c>
      <c r="R243" s="8">
        <v>161.78558781594293</v>
      </c>
      <c r="S243" s="11">
        <v>150.64789760207387</v>
      </c>
      <c r="T243" s="69">
        <f t="shared" si="23"/>
        <v>72</v>
      </c>
      <c r="U243" s="23">
        <f t="shared" si="24"/>
        <v>0.33341381206240311</v>
      </c>
      <c r="V243" s="8">
        <f t="shared" si="25"/>
        <v>0.33032297537737748</v>
      </c>
      <c r="W243" s="11">
        <f t="shared" si="26"/>
        <v>0.31467580823869373</v>
      </c>
      <c r="X243" s="23">
        <f t="shared" si="30"/>
        <v>1.711470261793911</v>
      </c>
      <c r="Y243" s="23">
        <f t="shared" si="30"/>
        <v>1.6956044671594255</v>
      </c>
      <c r="Z243" s="23">
        <f t="shared" si="30"/>
        <v>1.6152848754978659</v>
      </c>
    </row>
    <row r="244" spans="1:26" x14ac:dyDescent="0.3">
      <c r="A244" s="69" t="s">
        <v>480</v>
      </c>
      <c r="B244" s="23" t="s">
        <v>236</v>
      </c>
      <c r="C244" s="8" t="s">
        <v>237</v>
      </c>
      <c r="D244" s="11" t="s">
        <v>236</v>
      </c>
      <c r="E244" s="23" t="s">
        <v>30</v>
      </c>
      <c r="F244" s="8">
        <v>5</v>
      </c>
      <c r="G244" s="63" t="s">
        <v>533</v>
      </c>
      <c r="H244" s="23">
        <v>3.1162499915808439</v>
      </c>
      <c r="I244" s="8">
        <v>2.9874999541789293</v>
      </c>
      <c r="J244" s="11">
        <v>2.9562499839812517</v>
      </c>
      <c r="K244" s="23">
        <v>7.7187500894069672</v>
      </c>
      <c r="L244" s="8">
        <v>7.239999994635582</v>
      </c>
      <c r="M244" s="11">
        <v>7.5162502005696297</v>
      </c>
      <c r="N244" s="23">
        <v>9.0224999934434891</v>
      </c>
      <c r="O244" s="8">
        <v>8.5799999535083771</v>
      </c>
      <c r="P244" s="11">
        <v>8.3875000476837158</v>
      </c>
      <c r="Q244" s="23">
        <v>145.46587815942968</v>
      </c>
      <c r="R244" s="8">
        <v>141.01213091380427</v>
      </c>
      <c r="S244" s="11">
        <v>131.37100583279326</v>
      </c>
      <c r="T244" s="69">
        <f t="shared" si="23"/>
        <v>72</v>
      </c>
      <c r="U244" s="23">
        <f t="shared" si="24"/>
        <v>0.39262044932384749</v>
      </c>
      <c r="V244" s="8">
        <f t="shared" si="25"/>
        <v>0.40576695159497594</v>
      </c>
      <c r="W244" s="11">
        <f t="shared" si="26"/>
        <v>0.3641305014889526</v>
      </c>
      <c r="X244" s="23">
        <f t="shared" si="30"/>
        <v>2.0153880819555301</v>
      </c>
      <c r="Y244" s="23">
        <f t="shared" si="30"/>
        <v>2.0828713321078403</v>
      </c>
      <c r="Z244" s="23">
        <f t="shared" si="30"/>
        <v>1.8691442950593942</v>
      </c>
    </row>
    <row r="245" spans="1:26" x14ac:dyDescent="0.3">
      <c r="A245" s="69" t="s">
        <v>480</v>
      </c>
      <c r="B245" s="23" t="s">
        <v>239</v>
      </c>
      <c r="C245" s="8" t="s">
        <v>240</v>
      </c>
      <c r="D245" s="11" t="s">
        <v>241</v>
      </c>
      <c r="E245" s="23" t="s">
        <v>30</v>
      </c>
      <c r="F245" s="8">
        <v>5</v>
      </c>
      <c r="G245" s="11" t="s">
        <v>534</v>
      </c>
      <c r="H245" s="23">
        <v>4.7349999658763409</v>
      </c>
      <c r="I245" s="8">
        <v>4.5099999755620956</v>
      </c>
      <c r="J245" s="11">
        <v>4.531249962747097</v>
      </c>
      <c r="K245" s="23">
        <v>10.446250252425671</v>
      </c>
      <c r="L245" s="8">
        <v>10.052499920129776</v>
      </c>
      <c r="M245" s="11">
        <v>10.117499902844429</v>
      </c>
      <c r="N245" s="23">
        <v>13.278749957680702</v>
      </c>
      <c r="O245" s="8">
        <v>13.141250237822533</v>
      </c>
      <c r="P245" s="11">
        <v>13.483750075101852</v>
      </c>
      <c r="Q245" s="23">
        <v>124.94540116655867</v>
      </c>
      <c r="R245" s="8">
        <v>121.56462216461439</v>
      </c>
      <c r="S245" s="11">
        <v>115.22024497731692</v>
      </c>
      <c r="T245" s="69">
        <f t="shared" si="23"/>
        <v>72</v>
      </c>
      <c r="U245" s="23">
        <f t="shared" si="24"/>
        <v>0.24918311624456213</v>
      </c>
      <c r="V245" s="8">
        <f t="shared" si="25"/>
        <v>0.25193696246887787</v>
      </c>
      <c r="W245" s="11">
        <f t="shared" si="26"/>
        <v>0.23725443967495527</v>
      </c>
      <c r="X245" s="23">
        <f t="shared" si="30"/>
        <v>1.279099658636468</v>
      </c>
      <c r="Y245" s="23">
        <f t="shared" si="30"/>
        <v>1.2932356234584284</v>
      </c>
      <c r="Z245" s="23">
        <f t="shared" si="30"/>
        <v>1.2178677166087668</v>
      </c>
    </row>
    <row r="246" spans="1:26" x14ac:dyDescent="0.3">
      <c r="A246" s="69" t="s">
        <v>480</v>
      </c>
      <c r="B246" s="23" t="s">
        <v>243</v>
      </c>
      <c r="C246" s="8" t="s">
        <v>244</v>
      </c>
      <c r="D246" s="11" t="s">
        <v>245</v>
      </c>
      <c r="E246" s="23" t="s">
        <v>82</v>
      </c>
      <c r="F246" s="8">
        <v>5</v>
      </c>
      <c r="G246" s="63" t="s">
        <v>535</v>
      </c>
      <c r="H246" s="23">
        <v>5.2837500348687172</v>
      </c>
      <c r="I246" s="8">
        <v>5.0687499344348907</v>
      </c>
      <c r="J246" s="11">
        <v>5.2487500943243504</v>
      </c>
      <c r="K246" s="23">
        <v>11.72999981790781</v>
      </c>
      <c r="L246" s="8">
        <v>11.916250176727772</v>
      </c>
      <c r="M246" s="11">
        <v>12.173749879002571</v>
      </c>
      <c r="N246" s="23">
        <v>12.65375018119812</v>
      </c>
      <c r="O246" s="8">
        <v>12.961250357329845</v>
      </c>
      <c r="P246" s="11">
        <v>12.823749706149101</v>
      </c>
      <c r="Q246" s="23">
        <v>185.67821646143901</v>
      </c>
      <c r="R246" s="8">
        <v>181.74247051199001</v>
      </c>
      <c r="S246" s="11">
        <v>182.79923136746601</v>
      </c>
      <c r="T246" s="69">
        <f t="shared" si="23"/>
        <v>72</v>
      </c>
      <c r="U246" s="23">
        <f t="shared" si="24"/>
        <v>0.32977802526257305</v>
      </c>
      <c r="V246" s="8">
        <f t="shared" si="25"/>
        <v>0.31774269697646768</v>
      </c>
      <c r="W246" s="11">
        <f t="shared" si="26"/>
        <v>0.31283025838440898</v>
      </c>
      <c r="X246" s="23">
        <f t="shared" si="30"/>
        <v>1.6928071447873265</v>
      </c>
      <c r="Y246" s="23">
        <f t="shared" si="30"/>
        <v>1.6310277412131842</v>
      </c>
      <c r="Z246" s="23">
        <f t="shared" si="30"/>
        <v>1.6058113516725385</v>
      </c>
    </row>
    <row r="247" spans="1:26" x14ac:dyDescent="0.3">
      <c r="A247" s="69" t="s">
        <v>480</v>
      </c>
      <c r="B247" s="23" t="s">
        <v>247</v>
      </c>
      <c r="C247" s="8" t="s">
        <v>248</v>
      </c>
      <c r="D247" s="11" t="s">
        <v>249</v>
      </c>
      <c r="E247" s="23" t="s">
        <v>82</v>
      </c>
      <c r="F247" s="8">
        <v>5</v>
      </c>
      <c r="G247" s="11" t="s">
        <v>536</v>
      </c>
      <c r="H247" s="23">
        <v>6.0512500815093517</v>
      </c>
      <c r="I247" s="8">
        <v>5.6299999356269836</v>
      </c>
      <c r="J247" s="11">
        <v>5.5700000375509262</v>
      </c>
      <c r="K247" s="23">
        <v>11.832499876618385</v>
      </c>
      <c r="L247" s="8">
        <v>11.71250008046627</v>
      </c>
      <c r="M247" s="11">
        <v>11.121249943971634</v>
      </c>
      <c r="N247" s="23">
        <v>12.34000027179718</v>
      </c>
      <c r="O247" s="8">
        <v>12.694999948143959</v>
      </c>
      <c r="P247" s="11">
        <v>11.780000105500221</v>
      </c>
      <c r="Q247" s="23">
        <v>189.25796889176931</v>
      </c>
      <c r="R247" s="8">
        <v>194.95196370706415</v>
      </c>
      <c r="S247" s="11">
        <v>182.57134024627348</v>
      </c>
      <c r="T247" s="69">
        <f t="shared" si="23"/>
        <v>72</v>
      </c>
      <c r="U247" s="23">
        <f t="shared" si="24"/>
        <v>0.33322411941902308</v>
      </c>
      <c r="V247" s="8">
        <f t="shared" si="25"/>
        <v>0.34676620840932221</v>
      </c>
      <c r="W247" s="11">
        <f t="shared" si="26"/>
        <v>0.34200918130841823</v>
      </c>
      <c r="X247" s="23">
        <f t="shared" si="30"/>
        <v>1.7104965369322511</v>
      </c>
      <c r="Y247" s="23">
        <f t="shared" si="30"/>
        <v>1.7800104015382134</v>
      </c>
      <c r="Z247" s="23">
        <f t="shared" si="30"/>
        <v>1.7555917658272817</v>
      </c>
    </row>
    <row r="248" spans="1:26" x14ac:dyDescent="0.3">
      <c r="A248" s="69" t="s">
        <v>480</v>
      </c>
      <c r="B248" s="23" t="s">
        <v>251</v>
      </c>
      <c r="C248" s="8" t="s">
        <v>252</v>
      </c>
      <c r="D248" s="11" t="s">
        <v>253</v>
      </c>
      <c r="E248" s="23" t="s">
        <v>82</v>
      </c>
      <c r="F248" s="8">
        <v>5</v>
      </c>
      <c r="G248" s="63" t="s">
        <v>537</v>
      </c>
      <c r="H248" s="23">
        <v>5.2462499588727951</v>
      </c>
      <c r="I248" s="8">
        <v>4.9499999731779099</v>
      </c>
      <c r="J248" s="11">
        <v>5.1450000144541264</v>
      </c>
      <c r="K248" s="23">
        <v>6.4812499098479748</v>
      </c>
      <c r="L248" s="8">
        <v>6.7437499761581421</v>
      </c>
      <c r="M248" s="11">
        <v>6.836250051856041</v>
      </c>
      <c r="N248" s="23">
        <v>5.9912499971687794</v>
      </c>
      <c r="O248" s="8">
        <v>6.3562501221895218</v>
      </c>
      <c r="P248" s="11">
        <v>6.1500000767409801</v>
      </c>
      <c r="Q248" s="23">
        <v>97.848492546986378</v>
      </c>
      <c r="R248" s="8">
        <v>83.016019442644208</v>
      </c>
      <c r="S248" s="11">
        <v>71.089017498379789</v>
      </c>
      <c r="T248" s="69">
        <f t="shared" si="23"/>
        <v>72</v>
      </c>
      <c r="U248" s="23">
        <f t="shared" si="24"/>
        <v>0.31452424914183957</v>
      </c>
      <c r="V248" s="8">
        <f t="shared" si="25"/>
        <v>0.25645974586388348</v>
      </c>
      <c r="W248" s="11">
        <f t="shared" si="26"/>
        <v>0.21664233851142048</v>
      </c>
      <c r="X248" s="23">
        <f t="shared" si="30"/>
        <v>1.6145068966685976</v>
      </c>
      <c r="Y248" s="23">
        <f t="shared" si="30"/>
        <v>1.3164518460654229</v>
      </c>
      <c r="Z248" s="23">
        <f t="shared" si="30"/>
        <v>1.1120622673495895</v>
      </c>
    </row>
    <row r="249" spans="1:26" x14ac:dyDescent="0.3">
      <c r="A249" s="69" t="s">
        <v>480</v>
      </c>
      <c r="B249" s="23" t="s">
        <v>255</v>
      </c>
      <c r="C249" s="8">
        <v>0</v>
      </c>
      <c r="D249" s="11" t="s">
        <v>256</v>
      </c>
      <c r="E249" s="23" t="s">
        <v>82</v>
      </c>
      <c r="F249" s="8">
        <v>5</v>
      </c>
      <c r="G249" s="11" t="s">
        <v>538</v>
      </c>
      <c r="H249" s="23">
        <v>6.2562499195337296</v>
      </c>
      <c r="I249" s="8">
        <v>5.8500000275671482</v>
      </c>
      <c r="J249" s="11">
        <v>6.1287500895559788</v>
      </c>
      <c r="K249" s="23">
        <v>12.257500179111958</v>
      </c>
      <c r="L249" s="8">
        <v>12.363749928772449</v>
      </c>
      <c r="M249" s="11">
        <v>12.145000137388706</v>
      </c>
      <c r="N249" s="23">
        <v>14.906250312924385</v>
      </c>
      <c r="O249" s="8">
        <v>14.058750122785568</v>
      </c>
      <c r="P249" s="11">
        <v>14.665000140666962</v>
      </c>
      <c r="Q249" s="23">
        <v>141.53581075826301</v>
      </c>
      <c r="R249" s="8">
        <v>142.43312896954001</v>
      </c>
      <c r="S249" s="11">
        <v>149.90062216461399</v>
      </c>
      <c r="T249" s="69">
        <f t="shared" si="23"/>
        <v>72</v>
      </c>
      <c r="U249" s="23">
        <f t="shared" si="24"/>
        <v>0.24055987607940679</v>
      </c>
      <c r="V249" s="8">
        <f t="shared" si="25"/>
        <v>0.24000459978784941</v>
      </c>
      <c r="W249" s="11">
        <f t="shared" si="26"/>
        <v>0.25713705995073938</v>
      </c>
      <c r="X249" s="23">
        <f t="shared" si="30"/>
        <v>1.2348350883966246</v>
      </c>
      <c r="Y249" s="23">
        <f t="shared" si="30"/>
        <v>1.2319847599888087</v>
      </c>
      <c r="Z249" s="23">
        <f t="shared" si="30"/>
        <v>1.3199286154001348</v>
      </c>
    </row>
    <row r="250" spans="1:26" x14ac:dyDescent="0.3">
      <c r="A250" s="69" t="s">
        <v>480</v>
      </c>
      <c r="B250" s="23" t="s">
        <v>258</v>
      </c>
      <c r="C250" s="8" t="s">
        <v>259</v>
      </c>
      <c r="D250" s="11" t="s">
        <v>260</v>
      </c>
      <c r="E250" s="23" t="s">
        <v>82</v>
      </c>
      <c r="F250" s="8">
        <v>5</v>
      </c>
      <c r="G250" s="63" t="s">
        <v>539</v>
      </c>
      <c r="H250" s="23">
        <v>5.9000000357627869</v>
      </c>
      <c r="I250" s="8">
        <v>6.0199999250471592</v>
      </c>
      <c r="J250" s="11">
        <v>5.6600000709295273</v>
      </c>
      <c r="K250" s="23">
        <v>12.222500145435333</v>
      </c>
      <c r="L250" s="8">
        <v>11.833749897778034</v>
      </c>
      <c r="M250" s="11">
        <v>11.817499808967113</v>
      </c>
      <c r="N250" s="23">
        <v>13.41874971985817</v>
      </c>
      <c r="O250" s="8">
        <v>13.425000384449959</v>
      </c>
      <c r="P250" s="11">
        <v>12.719999998807907</v>
      </c>
      <c r="Q250" s="23">
        <v>170.52630460142581</v>
      </c>
      <c r="R250" s="8">
        <v>165.81194815294879</v>
      </c>
      <c r="S250" s="11">
        <v>161.61777965003239</v>
      </c>
      <c r="T250" s="69">
        <f t="shared" si="23"/>
        <v>72</v>
      </c>
      <c r="U250" s="23">
        <f t="shared" si="24"/>
        <v>0.29066322794766491</v>
      </c>
      <c r="V250" s="8">
        <f t="shared" si="25"/>
        <v>0.29191216785546442</v>
      </c>
      <c r="W250" s="11">
        <f t="shared" si="26"/>
        <v>0.28491957947716112</v>
      </c>
      <c r="X250" s="23">
        <f t="shared" si="30"/>
        <v>1.4920241838581851</v>
      </c>
      <c r="Y250" s="23">
        <f t="shared" si="30"/>
        <v>1.4984352065382125</v>
      </c>
      <c r="Z250" s="23">
        <f t="shared" si="30"/>
        <v>1.4625410514988531</v>
      </c>
    </row>
    <row r="251" spans="1:26" x14ac:dyDescent="0.3">
      <c r="A251" s="69" t="s">
        <v>480</v>
      </c>
      <c r="B251" s="23" t="s">
        <v>262</v>
      </c>
      <c r="C251" s="8" t="s">
        <v>263</v>
      </c>
      <c r="D251" s="11" t="s">
        <v>264</v>
      </c>
      <c r="E251" s="23" t="s">
        <v>82</v>
      </c>
      <c r="F251" s="8">
        <v>5</v>
      </c>
      <c r="G251" s="11" t="s">
        <v>540</v>
      </c>
      <c r="H251" s="23">
        <v>5.7575000450015068</v>
      </c>
      <c r="I251" s="8">
        <v>5.4224999621510506</v>
      </c>
      <c r="J251" s="11">
        <v>5.1450000349432203</v>
      </c>
      <c r="K251" s="23">
        <v>12.136250175535679</v>
      </c>
      <c r="L251" s="8">
        <v>11.816250160336494</v>
      </c>
      <c r="M251" s="11">
        <v>11.91249992698431</v>
      </c>
      <c r="N251" s="23">
        <v>13.33249993622303</v>
      </c>
      <c r="O251" s="8">
        <v>13.131249696016312</v>
      </c>
      <c r="P251" s="11">
        <v>12.983749806880951</v>
      </c>
      <c r="Q251" s="23">
        <v>182.02490343486713</v>
      </c>
      <c r="R251" s="8">
        <v>177.94939857420607</v>
      </c>
      <c r="S251" s="11">
        <v>181.12782760855478</v>
      </c>
      <c r="T251" s="69">
        <f t="shared" si="23"/>
        <v>72</v>
      </c>
      <c r="U251" s="23">
        <f t="shared" si="24"/>
        <v>0.31246764308391622</v>
      </c>
      <c r="V251" s="8">
        <f t="shared" si="25"/>
        <v>0.31374413089245679</v>
      </c>
      <c r="W251" s="11">
        <f t="shared" si="26"/>
        <v>0.3167678011870369</v>
      </c>
      <c r="X251" s="23">
        <f t="shared" si="30"/>
        <v>1.6039499851639769</v>
      </c>
      <c r="Y251" s="23">
        <f t="shared" si="30"/>
        <v>1.6105024159416519</v>
      </c>
      <c r="Z251" s="23">
        <f t="shared" si="30"/>
        <v>1.6260234339781661</v>
      </c>
    </row>
    <row r="252" spans="1:26" x14ac:dyDescent="0.3">
      <c r="A252" s="69" t="s">
        <v>480</v>
      </c>
      <c r="B252" s="23" t="s">
        <v>266</v>
      </c>
      <c r="C252" s="8" t="s">
        <v>267</v>
      </c>
      <c r="D252" s="11" t="s">
        <v>268</v>
      </c>
      <c r="E252" s="23" t="s">
        <v>82</v>
      </c>
      <c r="F252" s="8">
        <v>5</v>
      </c>
      <c r="G252" s="63" t="s">
        <v>541</v>
      </c>
      <c r="H252" s="23">
        <v>5.2450000308454037</v>
      </c>
      <c r="I252" s="8">
        <v>5.4849999956786633</v>
      </c>
      <c r="J252" s="11">
        <v>5.7312499731779099</v>
      </c>
      <c r="K252" s="23">
        <v>11.471249908208847</v>
      </c>
      <c r="L252" s="8">
        <v>11.698750033974648</v>
      </c>
      <c r="M252" s="11">
        <v>11.737499944865704</v>
      </c>
      <c r="N252" s="23">
        <v>14.922500401735306</v>
      </c>
      <c r="O252" s="8">
        <v>14.925000071525574</v>
      </c>
      <c r="P252" s="11">
        <v>14.708749949932098</v>
      </c>
      <c r="Q252" s="23">
        <v>108.259593000648</v>
      </c>
      <c r="R252" s="8">
        <v>109.993403758911</v>
      </c>
      <c r="S252" s="11">
        <v>105.469994815295</v>
      </c>
      <c r="T252" s="69">
        <f t="shared" ref="T252:T313" si="31">IF(N252="NA",48,72)</f>
        <v>72</v>
      </c>
      <c r="U252" s="23">
        <f t="shared" ref="U252:U313" si="32">Q252/K252/(T252-24)</f>
        <v>0.19661398762653803</v>
      </c>
      <c r="V252" s="8">
        <f t="shared" ref="V252:V313" si="33">R252/L252/(T252-24)</f>
        <v>0.19587812700693852</v>
      </c>
      <c r="W252" s="11">
        <f t="shared" ref="W252:W313" si="34">S252/M252/(T252-24)</f>
        <v>0.18720268958238703</v>
      </c>
      <c r="X252" s="23">
        <f t="shared" si="30"/>
        <v>1.0092533083559097</v>
      </c>
      <c r="Y252" s="23">
        <f t="shared" si="30"/>
        <v>1.0054760096307023</v>
      </c>
      <c r="Z252" s="23">
        <f t="shared" si="30"/>
        <v>0.96094350190905209</v>
      </c>
    </row>
    <row r="253" spans="1:26" x14ac:dyDescent="0.3">
      <c r="A253" s="69" t="s">
        <v>480</v>
      </c>
      <c r="B253" s="23" t="s">
        <v>270</v>
      </c>
      <c r="C253" s="8" t="s">
        <v>271</v>
      </c>
      <c r="D253" s="11" t="s">
        <v>272</v>
      </c>
      <c r="E253" s="23" t="s">
        <v>82</v>
      </c>
      <c r="F253" s="8">
        <v>5</v>
      </c>
      <c r="G253" s="11" t="s">
        <v>542</v>
      </c>
      <c r="H253" s="23">
        <v>4.9899999983608723</v>
      </c>
      <c r="I253" s="8">
        <v>4.9762501381337643</v>
      </c>
      <c r="J253" s="11">
        <v>5.2862499840557575</v>
      </c>
      <c r="K253" s="23">
        <v>10.997500084340572</v>
      </c>
      <c r="L253" s="8">
        <v>10.466250032186508</v>
      </c>
      <c r="M253" s="11">
        <v>10.462499968707561</v>
      </c>
      <c r="N253" s="23">
        <v>12.503750063478947</v>
      </c>
      <c r="O253" s="8">
        <v>12.322500161826611</v>
      </c>
      <c r="P253" s="11">
        <v>12.227500230073929</v>
      </c>
      <c r="Q253" s="23">
        <v>146.56398963058999</v>
      </c>
      <c r="R253" s="8">
        <v>142.280530136099</v>
      </c>
      <c r="S253" s="11">
        <v>146.82332209980601</v>
      </c>
      <c r="T253" s="69">
        <f t="shared" si="31"/>
        <v>72</v>
      </c>
      <c r="U253" s="23">
        <f t="shared" si="32"/>
        <v>0.27764641302299925</v>
      </c>
      <c r="V253" s="8">
        <f t="shared" si="33"/>
        <v>0.2832129656804579</v>
      </c>
      <c r="W253" s="11">
        <f t="shared" si="34"/>
        <v>0.29236025993417353</v>
      </c>
      <c r="X253" s="23">
        <f t="shared" si="30"/>
        <v>1.4252066410904283</v>
      </c>
      <c r="Y253" s="23">
        <f t="shared" si="30"/>
        <v>1.4537807102779616</v>
      </c>
      <c r="Z253" s="23">
        <f t="shared" si="30"/>
        <v>1.5007353400045265</v>
      </c>
    </row>
    <row r="254" spans="1:26" x14ac:dyDescent="0.3">
      <c r="A254" s="69" t="s">
        <v>480</v>
      </c>
      <c r="B254" s="23" t="s">
        <v>86</v>
      </c>
      <c r="C254" s="8" t="s">
        <v>86</v>
      </c>
      <c r="D254" s="11" t="s">
        <v>86</v>
      </c>
      <c r="E254" s="23" t="s">
        <v>87</v>
      </c>
      <c r="F254" s="8">
        <v>5</v>
      </c>
      <c r="G254" s="11" t="s">
        <v>491</v>
      </c>
      <c r="H254" s="23">
        <v>4.0124999806284896</v>
      </c>
      <c r="I254" s="8">
        <v>4.0487500354647601</v>
      </c>
      <c r="J254" s="11">
        <v>5.1787500008940599</v>
      </c>
      <c r="K254" s="23">
        <v>11.304999951273199</v>
      </c>
      <c r="L254" s="8">
        <v>10.119999986141901</v>
      </c>
      <c r="M254" s="11">
        <v>12.263749904930499</v>
      </c>
      <c r="N254" s="23">
        <v>13.1949999779462</v>
      </c>
      <c r="O254" s="8">
        <v>13.093750126659801</v>
      </c>
      <c r="P254" s="11">
        <v>14.943750008940601</v>
      </c>
      <c r="Q254" s="23">
        <v>104.44674530136098</v>
      </c>
      <c r="R254" s="8">
        <v>106.40338950097215</v>
      </c>
      <c r="S254" s="11">
        <v>101.78516267012316</v>
      </c>
      <c r="T254" s="69">
        <f t="shared" si="31"/>
        <v>72</v>
      </c>
      <c r="U254" s="23">
        <f t="shared" si="32"/>
        <v>0.19247889162528978</v>
      </c>
      <c r="V254" s="8">
        <f t="shared" si="33"/>
        <v>0.21904518619622559</v>
      </c>
      <c r="W254" s="11">
        <f t="shared" si="34"/>
        <v>0.17290993690614156</v>
      </c>
      <c r="X254" s="23">
        <f t="shared" si="30"/>
        <v>0.98802715161086541</v>
      </c>
      <c r="Y254" s="23">
        <f t="shared" si="30"/>
        <v>1.1243964964888269</v>
      </c>
      <c r="Z254" s="23">
        <f t="shared" si="30"/>
        <v>0.88757635190030826</v>
      </c>
    </row>
    <row r="255" spans="1:26" x14ac:dyDescent="0.3">
      <c r="A255" s="69" t="s">
        <v>543</v>
      </c>
      <c r="B255" s="23" t="s">
        <v>27</v>
      </c>
      <c r="C255" s="8" t="s">
        <v>28</v>
      </c>
      <c r="D255" s="11" t="s">
        <v>29</v>
      </c>
      <c r="E255" s="23" t="s">
        <v>30</v>
      </c>
      <c r="F255" s="8">
        <v>2</v>
      </c>
      <c r="G255" s="53" t="s">
        <v>544</v>
      </c>
      <c r="H255" s="29">
        <v>6.393750011920929</v>
      </c>
      <c r="I255" s="1">
        <v>7.2012500837445259</v>
      </c>
      <c r="J255" s="30">
        <v>4.3562500737607479</v>
      </c>
      <c r="K255" s="29">
        <v>12.654999643564224</v>
      </c>
      <c r="L255" s="1">
        <v>11.062500067055225</v>
      </c>
      <c r="M255" s="30">
        <v>10.500000044703484</v>
      </c>
      <c r="N255" s="23" t="s">
        <v>32</v>
      </c>
      <c r="O255" s="8" t="s">
        <v>32</v>
      </c>
      <c r="P255" s="11" t="s">
        <v>32</v>
      </c>
      <c r="Q255" s="29">
        <v>48.380815508021392</v>
      </c>
      <c r="R255" s="1">
        <v>42.231283422459903</v>
      </c>
      <c r="S255" s="30">
        <v>45.787500000000001</v>
      </c>
      <c r="T255" s="69">
        <f t="shared" si="31"/>
        <v>48</v>
      </c>
      <c r="U255" s="23">
        <f t="shared" si="32"/>
        <v>0.15929414220563856</v>
      </c>
      <c r="V255" s="8">
        <f t="shared" si="33"/>
        <v>0.15906321343305249</v>
      </c>
      <c r="W255" s="11">
        <f t="shared" si="34"/>
        <v>0.18169642779786066</v>
      </c>
      <c r="X255" s="23">
        <f>U255/AVERAGE($U$268:$W$268)</f>
        <v>2.7918535300115535</v>
      </c>
      <c r="Y255" s="23">
        <f>V255/AVERAGE($U$268:$W$268)</f>
        <v>2.7878061789916186</v>
      </c>
      <c r="Z255" s="23">
        <f>W255/AVERAGE($U$268:$W$268)</f>
        <v>3.1844850432923875</v>
      </c>
    </row>
    <row r="256" spans="1:26" x14ac:dyDescent="0.3">
      <c r="A256" s="69" t="s">
        <v>543</v>
      </c>
      <c r="B256" s="23" t="s">
        <v>33</v>
      </c>
      <c r="C256" s="8" t="s">
        <v>34</v>
      </c>
      <c r="D256" s="23" t="s">
        <v>35</v>
      </c>
      <c r="E256" s="23" t="s">
        <v>30</v>
      </c>
      <c r="F256" s="8">
        <v>2</v>
      </c>
      <c r="G256" s="53" t="s">
        <v>545</v>
      </c>
      <c r="H256" s="29">
        <v>6.3287499360740185</v>
      </c>
      <c r="I256" s="1">
        <v>5.5900000967085361</v>
      </c>
      <c r="J256" s="30">
        <v>4.3562499806284904</v>
      </c>
      <c r="K256" s="29">
        <v>11.431249789893627</v>
      </c>
      <c r="L256" s="1">
        <v>11.27374991774559</v>
      </c>
      <c r="M256" s="30">
        <v>11.079999804496765</v>
      </c>
      <c r="N256" s="23" t="s">
        <v>32</v>
      </c>
      <c r="O256" s="8" t="s">
        <v>32</v>
      </c>
      <c r="P256" s="11" t="s">
        <v>32</v>
      </c>
      <c r="Q256" s="29">
        <v>30.568114973261999</v>
      </c>
      <c r="R256" s="1">
        <v>31.607486631015998</v>
      </c>
      <c r="S256" s="30">
        <v>33.473328877005301</v>
      </c>
      <c r="T256" s="69">
        <f t="shared" si="31"/>
        <v>48</v>
      </c>
      <c r="U256" s="23">
        <f t="shared" si="32"/>
        <v>0.11142014045964628</v>
      </c>
      <c r="V256" s="8">
        <f t="shared" si="33"/>
        <v>0.11681815005960523</v>
      </c>
      <c r="W256" s="11">
        <f t="shared" si="34"/>
        <v>0.12587744234217821</v>
      </c>
      <c r="X256" s="23">
        <f>U256/AVERAGE($U$268:$W$268)</f>
        <v>1.9527944226290304</v>
      </c>
      <c r="Y256" s="23">
        <f>V256/AVERAGE($U$268:$W$268)</f>
        <v>2.0474021209913884</v>
      </c>
      <c r="Z256" s="23">
        <f>W256/AVERAGE($U$268:$W$268)</f>
        <v>2.2061789397011258</v>
      </c>
    </row>
    <row r="257" spans="1:26" x14ac:dyDescent="0.3">
      <c r="A257" s="69" t="s">
        <v>543</v>
      </c>
      <c r="B257" s="23" t="s">
        <v>37</v>
      </c>
      <c r="C257" s="8" t="s">
        <v>38</v>
      </c>
      <c r="D257" s="11" t="s">
        <v>39</v>
      </c>
      <c r="E257" s="23" t="s">
        <v>30</v>
      </c>
      <c r="F257" s="8">
        <v>2</v>
      </c>
      <c r="G257" s="53" t="s">
        <v>546</v>
      </c>
      <c r="H257" s="29">
        <v>5.1937500014901161</v>
      </c>
      <c r="I257" s="1">
        <v>5.2962500602006912</v>
      </c>
      <c r="J257" s="30">
        <v>3.9700000546872616</v>
      </c>
      <c r="K257" s="29">
        <v>11.322499997913837</v>
      </c>
      <c r="L257" s="1">
        <v>10.387499816715717</v>
      </c>
      <c r="M257" s="30">
        <v>9.2487499117851257</v>
      </c>
      <c r="N257" s="23" t="s">
        <v>32</v>
      </c>
      <c r="O257" s="8" t="s">
        <v>32</v>
      </c>
      <c r="P257" s="11" t="s">
        <v>32</v>
      </c>
      <c r="Q257" s="29">
        <v>17.121189839572192</v>
      </c>
      <c r="R257" s="1">
        <v>15.302606951871658</v>
      </c>
      <c r="S257" s="30">
        <v>22.116644385026738</v>
      </c>
      <c r="T257" s="69">
        <f t="shared" si="31"/>
        <v>48</v>
      </c>
      <c r="U257" s="23">
        <f t="shared" si="32"/>
        <v>6.3005777002748065E-2</v>
      </c>
      <c r="V257" s="8">
        <f t="shared" si="33"/>
        <v>6.1382299325637844E-2</v>
      </c>
      <c r="W257" s="11">
        <f t="shared" si="34"/>
        <v>9.9637989800315366E-2</v>
      </c>
      <c r="X257" s="23">
        <f>U257/AVERAGE($U$268:$W$268)</f>
        <v>1.1042647174631415</v>
      </c>
      <c r="Y257" s="23">
        <f>V257/AVERAGE($U$268:$W$268)</f>
        <v>1.0758109914128517</v>
      </c>
      <c r="Z257" s="23">
        <f>W257/AVERAGE($U$268:$W$268)</f>
        <v>1.7462956873088271</v>
      </c>
    </row>
    <row r="258" spans="1:26" x14ac:dyDescent="0.3">
      <c r="A258" s="69" t="s">
        <v>543</v>
      </c>
      <c r="B258" s="23" t="s">
        <v>41</v>
      </c>
      <c r="C258" s="8" t="s">
        <v>42</v>
      </c>
      <c r="D258" s="11" t="s">
        <v>43</v>
      </c>
      <c r="E258" s="23" t="s">
        <v>30</v>
      </c>
      <c r="F258" s="8">
        <v>2</v>
      </c>
      <c r="G258" s="53" t="s">
        <v>547</v>
      </c>
      <c r="H258" s="29">
        <v>4.050000011920929</v>
      </c>
      <c r="I258" s="1">
        <v>4.0137499570846558</v>
      </c>
      <c r="J258" s="30">
        <v>5.5162499658763409</v>
      </c>
      <c r="K258" s="29">
        <v>12.987500056624413</v>
      </c>
      <c r="L258" s="1">
        <v>10.387500002980232</v>
      </c>
      <c r="M258" s="30">
        <v>9.9737502634525299</v>
      </c>
      <c r="N258" s="23" t="s">
        <v>32</v>
      </c>
      <c r="O258" s="8" t="s">
        <v>32</v>
      </c>
      <c r="P258" s="11" t="s">
        <v>32</v>
      </c>
      <c r="Q258" s="29">
        <v>21.860828877005346</v>
      </c>
      <c r="R258" s="1">
        <v>28.464304812834222</v>
      </c>
      <c r="S258" s="30">
        <v>21.270721925133689</v>
      </c>
      <c r="T258" s="69">
        <f t="shared" si="31"/>
        <v>48</v>
      </c>
      <c r="U258" s="23">
        <f t="shared" si="32"/>
        <v>7.0134195642264877E-2</v>
      </c>
      <c r="V258" s="8">
        <f t="shared" si="33"/>
        <v>0.11417691457949319</v>
      </c>
      <c r="W258" s="11">
        <f t="shared" si="34"/>
        <v>8.8861266504893163E-2</v>
      </c>
      <c r="X258" s="23">
        <f>U258/AVERAGE($U$268:$W$268)</f>
        <v>1.2292002641604181</v>
      </c>
      <c r="Y258" s="23">
        <f>V258/AVERAGE($U$268:$W$268)</f>
        <v>2.0011107602631122</v>
      </c>
      <c r="Z258" s="23">
        <f>W258/AVERAGE($U$268:$W$268)</f>
        <v>1.5574184784065574</v>
      </c>
    </row>
    <row r="259" spans="1:26" x14ac:dyDescent="0.3">
      <c r="A259" s="69" t="s">
        <v>543</v>
      </c>
      <c r="B259" s="23" t="s">
        <v>45</v>
      </c>
      <c r="C259" s="8" t="s">
        <v>46</v>
      </c>
      <c r="D259" s="11" t="s">
        <v>47</v>
      </c>
      <c r="E259" s="23" t="s">
        <v>30</v>
      </c>
      <c r="F259" s="8">
        <v>2</v>
      </c>
      <c r="G259" s="53" t="s">
        <v>548</v>
      </c>
      <c r="H259" s="29">
        <v>6.1962500214576721</v>
      </c>
      <c r="I259" s="1">
        <v>7.1462499909102917</v>
      </c>
      <c r="J259" s="30">
        <v>4.6824999153614044</v>
      </c>
      <c r="K259" s="29">
        <v>9.5949999988079071</v>
      </c>
      <c r="L259" s="1">
        <v>11.166249960660934</v>
      </c>
      <c r="M259" s="30">
        <v>9.4687499105930328</v>
      </c>
      <c r="N259" s="23" t="s">
        <v>32</v>
      </c>
      <c r="O259" s="8" t="s">
        <v>32</v>
      </c>
      <c r="P259" s="11" t="s">
        <v>32</v>
      </c>
      <c r="Q259" s="29">
        <v>45.213569518716575</v>
      </c>
      <c r="R259" s="1">
        <v>37.824799465240602</v>
      </c>
      <c r="S259" s="30">
        <v>40.355013368983997</v>
      </c>
      <c r="T259" s="69">
        <f t="shared" si="31"/>
        <v>48</v>
      </c>
      <c r="U259" s="23">
        <f t="shared" si="32"/>
        <v>0.19634171236900277</v>
      </c>
      <c r="V259" s="8">
        <f t="shared" si="33"/>
        <v>0.14114257844881753</v>
      </c>
      <c r="W259" s="11">
        <f t="shared" si="34"/>
        <v>0.17757981848197557</v>
      </c>
      <c r="X259" s="23">
        <f>U259/AVERAGE($U$268:$W$268)</f>
        <v>3.4411642209559563</v>
      </c>
      <c r="Y259" s="23">
        <f>V259/AVERAGE($U$268:$W$268)</f>
        <v>2.4737218859471382</v>
      </c>
      <c r="Z259" s="23">
        <f>W259/AVERAGE($U$268:$W$268)</f>
        <v>3.1123356843071992</v>
      </c>
    </row>
    <row r="260" spans="1:26" x14ac:dyDescent="0.3">
      <c r="A260" s="69" t="s">
        <v>543</v>
      </c>
      <c r="B260" s="23" t="s">
        <v>49</v>
      </c>
      <c r="C260" s="8" t="s">
        <v>50</v>
      </c>
      <c r="D260" s="11" t="s">
        <v>51</v>
      </c>
      <c r="E260" s="23" t="s">
        <v>30</v>
      </c>
      <c r="F260" s="8">
        <v>2</v>
      </c>
      <c r="G260" s="53" t="s">
        <v>549</v>
      </c>
      <c r="H260" s="29">
        <v>6.0662499628961086</v>
      </c>
      <c r="I260" s="1">
        <v>7.3774999007582664</v>
      </c>
      <c r="J260" s="30">
        <v>5.0574999302625656</v>
      </c>
      <c r="K260" s="29">
        <v>9.987499937415123</v>
      </c>
      <c r="L260" s="1">
        <v>12.22624983638525</v>
      </c>
      <c r="M260" s="30">
        <v>9.8212501034140587</v>
      </c>
      <c r="N260" s="23" t="s">
        <v>32</v>
      </c>
      <c r="O260" s="8" t="s">
        <v>32</v>
      </c>
      <c r="P260" s="11" t="s">
        <v>32</v>
      </c>
      <c r="Q260" s="29">
        <v>25.883355614973258</v>
      </c>
      <c r="R260" s="1">
        <v>19.380347593582883</v>
      </c>
      <c r="S260" s="30">
        <v>26.277406417112299</v>
      </c>
      <c r="T260" s="69">
        <f t="shared" si="31"/>
        <v>48</v>
      </c>
      <c r="U260" s="23">
        <f t="shared" si="32"/>
        <v>0.10798229360520094</v>
      </c>
      <c r="V260" s="8">
        <f t="shared" si="33"/>
        <v>6.6047601993441604E-2</v>
      </c>
      <c r="W260" s="11">
        <f t="shared" si="34"/>
        <v>0.11148193178236444</v>
      </c>
      <c r="X260" s="23">
        <f>U260/AVERAGE($U$268:$W$268)</f>
        <v>1.8925413289287485</v>
      </c>
      <c r="Y260" s="23">
        <f>V260/AVERAGE($U$268:$W$268)</f>
        <v>1.1575769718898112</v>
      </c>
      <c r="Z260" s="23">
        <f>W260/AVERAGE($U$268:$W$268)</f>
        <v>1.9538774023297658</v>
      </c>
    </row>
    <row r="261" spans="1:26" x14ac:dyDescent="0.3">
      <c r="A261" s="69" t="s">
        <v>543</v>
      </c>
      <c r="B261" s="23" t="s">
        <v>53</v>
      </c>
      <c r="C261" s="8" t="s">
        <v>54</v>
      </c>
      <c r="D261" s="11" t="s">
        <v>53</v>
      </c>
      <c r="E261" s="23" t="s">
        <v>30</v>
      </c>
      <c r="F261" s="8">
        <v>2</v>
      </c>
      <c r="G261" s="53" t="s">
        <v>550</v>
      </c>
      <c r="H261" s="29">
        <v>6.0137500986456871</v>
      </c>
      <c r="I261" s="1">
        <v>7.6712500303983688</v>
      </c>
      <c r="J261" s="30">
        <v>4.4574999250471592</v>
      </c>
      <c r="K261" s="29">
        <v>9.1837499290704727</v>
      </c>
      <c r="L261" s="1">
        <v>9.6262501552700996</v>
      </c>
      <c r="M261" s="30">
        <v>8.8475000113248825</v>
      </c>
      <c r="N261" s="23" t="s">
        <v>32</v>
      </c>
      <c r="O261" s="8" t="s">
        <v>32</v>
      </c>
      <c r="P261" s="11" t="s">
        <v>32</v>
      </c>
      <c r="Q261" s="29">
        <v>35.749264705882403</v>
      </c>
      <c r="R261" s="1">
        <v>36.763502673796786</v>
      </c>
      <c r="S261" s="30">
        <v>32.866510695187166</v>
      </c>
      <c r="T261" s="69">
        <f t="shared" si="31"/>
        <v>48</v>
      </c>
      <c r="U261" s="23">
        <f t="shared" si="32"/>
        <v>0.16219438765023053</v>
      </c>
      <c r="V261" s="8">
        <f t="shared" si="33"/>
        <v>0.15912869359306805</v>
      </c>
      <c r="W261" s="11">
        <f t="shared" si="34"/>
        <v>0.15478247458377001</v>
      </c>
      <c r="X261" s="23">
        <f>U261/AVERAGE($U$268:$W$268)</f>
        <v>2.8426844040805523</v>
      </c>
      <c r="Y261" s="23">
        <f>V261/AVERAGE($U$268:$W$268)</f>
        <v>2.788953810746019</v>
      </c>
      <c r="Z261" s="23">
        <f>W261/AVERAGE($U$268:$W$268)</f>
        <v>2.712780219455714</v>
      </c>
    </row>
    <row r="262" spans="1:26" x14ac:dyDescent="0.3">
      <c r="A262" s="69" t="s">
        <v>543</v>
      </c>
      <c r="B262" s="23" t="s">
        <v>56</v>
      </c>
      <c r="C262" s="8" t="s">
        <v>57</v>
      </c>
      <c r="D262" s="11" t="s">
        <v>58</v>
      </c>
      <c r="E262" s="23" t="s">
        <v>30</v>
      </c>
      <c r="F262" s="8">
        <v>2</v>
      </c>
      <c r="G262" s="53" t="s">
        <v>551</v>
      </c>
      <c r="H262" s="29">
        <v>5.970000009983778</v>
      </c>
      <c r="I262" s="1">
        <v>6.2399999238550663</v>
      </c>
      <c r="J262" s="30">
        <v>6.0862498357892036</v>
      </c>
      <c r="K262" s="29">
        <v>10.586250200867653</v>
      </c>
      <c r="L262" s="1">
        <v>11.928750202059746</v>
      </c>
      <c r="M262" s="30">
        <v>9.6400000154972076</v>
      </c>
      <c r="N262" s="23" t="s">
        <v>32</v>
      </c>
      <c r="O262" s="8" t="s">
        <v>32</v>
      </c>
      <c r="P262" s="11" t="s">
        <v>32</v>
      </c>
      <c r="Q262" s="29">
        <v>24.206350267379676</v>
      </c>
      <c r="R262" s="1">
        <v>34.37533422459893</v>
      </c>
      <c r="S262" s="30">
        <v>31.585360962566838</v>
      </c>
      <c r="T262" s="69">
        <f t="shared" si="31"/>
        <v>48</v>
      </c>
      <c r="U262" s="23">
        <f t="shared" si="32"/>
        <v>9.5274333089616706E-2</v>
      </c>
      <c r="V262" s="8">
        <f t="shared" si="33"/>
        <v>0.12007172322581665</v>
      </c>
      <c r="W262" s="11">
        <f t="shared" si="34"/>
        <v>0.13652040504750343</v>
      </c>
      <c r="X262" s="23">
        <f>U262/AVERAGE($U$268:$W$268)</f>
        <v>1.669816475814687</v>
      </c>
      <c r="Y262" s="23">
        <f>V262/AVERAGE($U$268:$W$268)</f>
        <v>2.1044255595401329</v>
      </c>
      <c r="Z262" s="23">
        <f>W262/AVERAGE($U$268:$W$268)</f>
        <v>2.3927118064294275</v>
      </c>
    </row>
    <row r="263" spans="1:26" x14ac:dyDescent="0.3">
      <c r="A263" s="69" t="s">
        <v>543</v>
      </c>
      <c r="B263" s="23" t="s">
        <v>60</v>
      </c>
      <c r="C263" s="8" t="s">
        <v>61</v>
      </c>
      <c r="D263" s="11" t="s">
        <v>62</v>
      </c>
      <c r="E263" s="23" t="s">
        <v>30</v>
      </c>
      <c r="F263" s="8">
        <v>2</v>
      </c>
      <c r="G263" s="53" t="s">
        <v>552</v>
      </c>
      <c r="H263" s="29">
        <v>6.9250000640749931</v>
      </c>
      <c r="I263" s="1">
        <v>6.4862499013543129</v>
      </c>
      <c r="J263" s="30">
        <v>4.0087500587105751</v>
      </c>
      <c r="K263" s="29">
        <v>10.662500187754631</v>
      </c>
      <c r="L263" s="1">
        <v>9.8449999466538429</v>
      </c>
      <c r="M263" s="30">
        <v>8.8037500157952309</v>
      </c>
      <c r="N263" s="23" t="s">
        <v>32</v>
      </c>
      <c r="O263" s="8" t="s">
        <v>32</v>
      </c>
      <c r="P263" s="11" t="s">
        <v>32</v>
      </c>
      <c r="Q263" s="29">
        <v>30.469919786096256</v>
      </c>
      <c r="R263" s="1">
        <v>28.017713903743299</v>
      </c>
      <c r="S263" s="30">
        <v>31.3504679144385</v>
      </c>
      <c r="T263" s="69">
        <f t="shared" si="31"/>
        <v>48</v>
      </c>
      <c r="U263" s="23">
        <f t="shared" si="32"/>
        <v>0.11906963364421748</v>
      </c>
      <c r="V263" s="8">
        <f t="shared" si="33"/>
        <v>0.11857844106805569</v>
      </c>
      <c r="W263" s="11">
        <f t="shared" si="34"/>
        <v>0.14837648662118944</v>
      </c>
      <c r="X263" s="23">
        <f>U263/AVERAGE($U$268:$W$268)</f>
        <v>2.0868625324442354</v>
      </c>
      <c r="Y263" s="23">
        <f>V263/AVERAGE($U$268:$W$268)</f>
        <v>2.0782536927927278</v>
      </c>
      <c r="Z263" s="23">
        <f>W263/AVERAGE($U$268:$W$268)</f>
        <v>2.6005062848407534</v>
      </c>
    </row>
    <row r="264" spans="1:26" x14ac:dyDescent="0.3">
      <c r="A264" s="69" t="s">
        <v>543</v>
      </c>
      <c r="B264" s="23" t="s">
        <v>64</v>
      </c>
      <c r="C264" s="8" t="s">
        <v>65</v>
      </c>
      <c r="D264" s="11" t="s">
        <v>64</v>
      </c>
      <c r="E264" s="23" t="s">
        <v>30</v>
      </c>
      <c r="F264" s="8">
        <v>2</v>
      </c>
      <c r="G264" s="53" t="s">
        <v>553</v>
      </c>
      <c r="H264" s="29">
        <v>6.6625000908970833</v>
      </c>
      <c r="I264" s="1">
        <v>4.3350000865757465</v>
      </c>
      <c r="J264" s="30">
        <v>4.6512499451637268</v>
      </c>
      <c r="K264" s="29">
        <v>10.46374998986721</v>
      </c>
      <c r="L264" s="1">
        <v>9.4650000333786011</v>
      </c>
      <c r="M264" s="30">
        <v>8.9249998331069946</v>
      </c>
      <c r="N264" s="23" t="s">
        <v>32</v>
      </c>
      <c r="O264" s="8" t="s">
        <v>32</v>
      </c>
      <c r="P264" s="11" t="s">
        <v>32</v>
      </c>
      <c r="Q264" s="29">
        <v>21.189104278074865</v>
      </c>
      <c r="R264" s="1">
        <v>21.434090909090905</v>
      </c>
      <c r="S264" s="30">
        <v>31.733689839572186</v>
      </c>
      <c r="T264" s="69">
        <f t="shared" si="31"/>
        <v>48</v>
      </c>
      <c r="U264" s="23">
        <f t="shared" si="32"/>
        <v>8.4375042004514691E-2</v>
      </c>
      <c r="V264" s="8">
        <f t="shared" si="33"/>
        <v>9.4356800640530702E-2</v>
      </c>
      <c r="W264" s="11">
        <f t="shared" si="34"/>
        <v>0.14814981528000101</v>
      </c>
      <c r="X264" s="23">
        <f>U264/AVERAGE($U$268:$W$268)</f>
        <v>1.4787910942831846</v>
      </c>
      <c r="Y264" s="23">
        <f>V264/AVERAGE($U$268:$W$268)</f>
        <v>1.6537354312049359</v>
      </c>
      <c r="Z264" s="23">
        <f>W264/AVERAGE($U$268:$W$268)</f>
        <v>2.5965335512845349</v>
      </c>
    </row>
    <row r="265" spans="1:26" x14ac:dyDescent="0.3">
      <c r="A265" s="69" t="s">
        <v>543</v>
      </c>
      <c r="B265" s="23" t="s">
        <v>67</v>
      </c>
      <c r="C265" s="8" t="s">
        <v>68</v>
      </c>
      <c r="D265" s="11" t="s">
        <v>69</v>
      </c>
      <c r="E265" s="23" t="s">
        <v>30</v>
      </c>
      <c r="F265" s="8">
        <v>2</v>
      </c>
      <c r="G265" s="53" t="s">
        <v>554</v>
      </c>
      <c r="H265" s="29">
        <v>6.9587498903274536</v>
      </c>
      <c r="I265" s="1">
        <v>3.3537500537931919</v>
      </c>
      <c r="J265" s="30">
        <v>3.7137500010430813</v>
      </c>
      <c r="K265" s="29">
        <v>10.520000010728836</v>
      </c>
      <c r="L265" s="1">
        <v>10.594999976456165</v>
      </c>
      <c r="M265" s="30">
        <v>9.5637502148747444</v>
      </c>
      <c r="N265" s="23" t="s">
        <v>32</v>
      </c>
      <c r="O265" s="8" t="s">
        <v>32</v>
      </c>
      <c r="P265" s="11" t="s">
        <v>32</v>
      </c>
      <c r="Q265" s="29">
        <v>28.344518716577536</v>
      </c>
      <c r="R265" s="1">
        <v>28.666510695187167</v>
      </c>
      <c r="S265" s="30">
        <v>36.266711229946523</v>
      </c>
      <c r="T265" s="69">
        <f t="shared" si="31"/>
        <v>48</v>
      </c>
      <c r="U265" s="23">
        <f t="shared" si="32"/>
        <v>0.11226441178576656</v>
      </c>
      <c r="V265" s="8">
        <f t="shared" si="33"/>
        <v>0.11273600266984769</v>
      </c>
      <c r="W265" s="11">
        <f t="shared" si="34"/>
        <v>0.15800422783566284</v>
      </c>
      <c r="X265" s="23">
        <f>U265/AVERAGE($U$268:$W$268)</f>
        <v>1.9675914631823079</v>
      </c>
      <c r="Y265" s="23">
        <f>V265/AVERAGE($U$268:$W$268)</f>
        <v>1.9758567556545417</v>
      </c>
      <c r="Z265" s="23">
        <f>W265/AVERAGE($U$268:$W$268)</f>
        <v>2.7692459693230989</v>
      </c>
    </row>
    <row r="266" spans="1:26" x14ac:dyDescent="0.3">
      <c r="A266" s="69" t="s">
        <v>543</v>
      </c>
      <c r="B266" s="23" t="s">
        <v>71</v>
      </c>
      <c r="C266" s="8" t="s">
        <v>72</v>
      </c>
      <c r="D266" s="11" t="s">
        <v>73</v>
      </c>
      <c r="E266" s="23" t="s">
        <v>30</v>
      </c>
      <c r="F266" s="8">
        <v>2</v>
      </c>
      <c r="G266" s="53" t="s">
        <v>555</v>
      </c>
      <c r="H266" s="29">
        <v>7.6975001022219658</v>
      </c>
      <c r="I266" s="1">
        <v>2.96249995008111</v>
      </c>
      <c r="J266" s="30">
        <v>5.6762499734759331</v>
      </c>
      <c r="K266" s="29">
        <v>9.6012499183416367</v>
      </c>
      <c r="L266" s="1">
        <v>9.5587501302361488</v>
      </c>
      <c r="M266" s="30">
        <v>10.282499901950359</v>
      </c>
      <c r="N266" s="23" t="s">
        <v>32</v>
      </c>
      <c r="O266" s="8" t="s">
        <v>32</v>
      </c>
      <c r="P266" s="11" t="s">
        <v>32</v>
      </c>
      <c r="Q266" s="29">
        <v>37.105548128342242</v>
      </c>
      <c r="R266" s="1">
        <v>45.49752673796791</v>
      </c>
      <c r="S266" s="30">
        <v>43.996991978609621</v>
      </c>
      <c r="T266" s="69">
        <f t="shared" si="31"/>
        <v>48</v>
      </c>
      <c r="U266" s="23">
        <f t="shared" si="32"/>
        <v>0.1610274202314104</v>
      </c>
      <c r="V266" s="8">
        <f t="shared" si="33"/>
        <v>0.19832407531525556</v>
      </c>
      <c r="W266" s="11">
        <f t="shared" si="34"/>
        <v>0.17828427100310654</v>
      </c>
      <c r="X266" s="23">
        <f>U266/AVERAGE($U$268:$W$268)</f>
        <v>2.8222316613586287</v>
      </c>
      <c r="Y266" s="23">
        <f>V266/AVERAGE($U$268:$W$268)</f>
        <v>3.4759079153104873</v>
      </c>
      <c r="Z266" s="23">
        <f>W266/AVERAGE($U$268:$W$268)</f>
        <v>3.1246822039633089</v>
      </c>
    </row>
    <row r="267" spans="1:26" x14ac:dyDescent="0.3">
      <c r="A267" s="69" t="s">
        <v>543</v>
      </c>
      <c r="B267" s="23" t="s">
        <v>75</v>
      </c>
      <c r="C267" s="8" t="s">
        <v>76</v>
      </c>
      <c r="D267" s="11" t="s">
        <v>77</v>
      </c>
      <c r="E267" s="23" t="s">
        <v>30</v>
      </c>
      <c r="F267" s="8">
        <v>2</v>
      </c>
      <c r="G267" s="53" t="s">
        <v>556</v>
      </c>
      <c r="H267" s="29">
        <v>7.2549999691545963</v>
      </c>
      <c r="I267" s="1">
        <v>4.1125000454485416</v>
      </c>
      <c r="J267" s="30">
        <v>4.1025000624358654</v>
      </c>
      <c r="K267" s="29">
        <v>11.366249993443489</v>
      </c>
      <c r="L267" s="1">
        <v>8.8287500664591789</v>
      </c>
      <c r="M267" s="30">
        <v>8.2349998876452446</v>
      </c>
      <c r="N267" s="23" t="s">
        <v>32</v>
      </c>
      <c r="O267" s="8" t="s">
        <v>32</v>
      </c>
      <c r="P267" s="11" t="s">
        <v>32</v>
      </c>
      <c r="Q267" s="29">
        <v>41.084625668449199</v>
      </c>
      <c r="R267" s="1">
        <v>25.568850267379677</v>
      </c>
      <c r="S267" s="30">
        <v>9.8012700534759354</v>
      </c>
      <c r="T267" s="69">
        <f t="shared" si="31"/>
        <v>48</v>
      </c>
      <c r="U267" s="23">
        <f t="shared" si="32"/>
        <v>0.15060898747075943</v>
      </c>
      <c r="V267" s="8">
        <f t="shared" si="33"/>
        <v>0.12067039536980484</v>
      </c>
      <c r="W267" s="11">
        <f t="shared" si="34"/>
        <v>4.9591531001822502E-2</v>
      </c>
      <c r="X267" s="23">
        <f>U267/AVERAGE($U$268:$W$268)</f>
        <v>2.6396339972055909</v>
      </c>
      <c r="Y267" s="23">
        <f>V267/AVERAGE($U$268:$W$268)</f>
        <v>2.1149181295453459</v>
      </c>
      <c r="Z267" s="23">
        <f>W267/AVERAGE($U$268:$W$268)</f>
        <v>0.86916121942125457</v>
      </c>
    </row>
    <row r="268" spans="1:26" x14ac:dyDescent="0.3">
      <c r="A268" s="69" t="s">
        <v>543</v>
      </c>
      <c r="B268" s="23" t="s">
        <v>86</v>
      </c>
      <c r="C268" s="8" t="s">
        <v>86</v>
      </c>
      <c r="D268" s="11" t="s">
        <v>86</v>
      </c>
      <c r="E268" s="23" t="s">
        <v>87</v>
      </c>
      <c r="F268" s="8">
        <v>2</v>
      </c>
      <c r="G268" s="54" t="s">
        <v>559</v>
      </c>
      <c r="H268" s="29">
        <v>6.4737500622868538</v>
      </c>
      <c r="I268" s="1">
        <v>5.2000000141561031</v>
      </c>
      <c r="J268" s="30">
        <v>5.3212500177323818</v>
      </c>
      <c r="K268" s="29">
        <v>10.831250064074993</v>
      </c>
      <c r="L268" s="1">
        <v>10.248749889433384</v>
      </c>
      <c r="M268" s="30">
        <v>9.4162501394748688</v>
      </c>
      <c r="N268" s="23" t="s">
        <v>32</v>
      </c>
      <c r="O268" s="8" t="s">
        <v>32</v>
      </c>
      <c r="P268" s="11" t="s">
        <v>32</v>
      </c>
      <c r="Q268" s="29">
        <v>14.343716577540107</v>
      </c>
      <c r="R268" s="1">
        <v>16.040708556149731</v>
      </c>
      <c r="S268" s="30">
        <v>11.475200534759356</v>
      </c>
      <c r="T268" s="69">
        <f t="shared" si="31"/>
        <v>48</v>
      </c>
      <c r="U268" s="23">
        <f t="shared" si="32"/>
        <v>5.5178751654880676E-2</v>
      </c>
      <c r="V268" s="8">
        <f t="shared" si="33"/>
        <v>6.5214085982850556E-2</v>
      </c>
      <c r="W268" s="11">
        <f t="shared" si="34"/>
        <v>5.0777469643732087E-2</v>
      </c>
      <c r="X268" s="23">
        <f>U268/AVERAGE($U$268:$W$268)</f>
        <v>0.9670851071876797</v>
      </c>
      <c r="Y268" s="23">
        <f>V268/AVERAGE($U$268:$W$268)</f>
        <v>1.1429684333442716</v>
      </c>
      <c r="Z268" s="23">
        <f>W268/AVERAGE($U$268:$W$268)</f>
        <v>0.88994645946804884</v>
      </c>
    </row>
    <row r="269" spans="1:26" x14ac:dyDescent="0.3">
      <c r="A269" s="69" t="s">
        <v>543</v>
      </c>
      <c r="B269" s="23" t="s">
        <v>89</v>
      </c>
      <c r="C269" s="8" t="s">
        <v>90</v>
      </c>
      <c r="D269" s="23" t="s">
        <v>668</v>
      </c>
      <c r="E269" s="23" t="s">
        <v>82</v>
      </c>
      <c r="F269" s="8">
        <v>4</v>
      </c>
      <c r="G269" s="11" t="s">
        <v>560</v>
      </c>
      <c r="H269" s="5">
        <v>5.604999978095293</v>
      </c>
      <c r="I269" s="6">
        <v>5.7825000956654549</v>
      </c>
      <c r="J269" s="35">
        <v>5.5724999867379665</v>
      </c>
      <c r="K269" s="5">
        <v>12.723750062286854</v>
      </c>
      <c r="L269" s="6">
        <v>13.054999895393848</v>
      </c>
      <c r="M269" s="35">
        <v>12.35750038176775</v>
      </c>
      <c r="N269" s="5">
        <v>15.060000121593475</v>
      </c>
      <c r="O269" s="6">
        <v>14.874999970197678</v>
      </c>
      <c r="P269" s="35">
        <v>14.462499693036079</v>
      </c>
      <c r="Q269" s="5">
        <v>54.361123919308355</v>
      </c>
      <c r="R269" s="6">
        <v>43.166829971181556</v>
      </c>
      <c r="S269" s="35">
        <v>41.278472622478397</v>
      </c>
      <c r="T269" s="69">
        <f t="shared" si="31"/>
        <v>72</v>
      </c>
      <c r="U269" s="23">
        <f t="shared" si="32"/>
        <v>8.9008618484450255E-2</v>
      </c>
      <c r="V269" s="8">
        <f t="shared" si="33"/>
        <v>6.8886171194091642E-2</v>
      </c>
      <c r="W269" s="11">
        <f t="shared" si="34"/>
        <v>6.9590787219700453E-2</v>
      </c>
      <c r="X269" s="23">
        <f>U269/AVERAGE($U$276:$W$276)</f>
        <v>3.0388455247827486</v>
      </c>
      <c r="Y269" s="23">
        <f t="shared" ref="Y269:Z276" si="35">V269/AVERAGE($U$276:$W$276)</f>
        <v>2.3518445361462863</v>
      </c>
      <c r="Z269" s="23">
        <f t="shared" si="35"/>
        <v>2.375900849934435</v>
      </c>
    </row>
    <row r="270" spans="1:26" x14ac:dyDescent="0.3">
      <c r="A270" s="69" t="s">
        <v>543</v>
      </c>
      <c r="B270" s="23" t="s">
        <v>93</v>
      </c>
      <c r="C270" s="8" t="s">
        <v>94</v>
      </c>
      <c r="D270" s="23" t="s">
        <v>667</v>
      </c>
      <c r="E270" s="23" t="s">
        <v>82</v>
      </c>
      <c r="F270" s="8">
        <v>4</v>
      </c>
      <c r="G270" s="11" t="s">
        <v>561</v>
      </c>
      <c r="H270" s="5">
        <v>6.0362500138580799</v>
      </c>
      <c r="I270" s="6">
        <v>6.1150000430643559</v>
      </c>
      <c r="J270" s="35">
        <v>5.9949999675154686</v>
      </c>
      <c r="K270" s="5">
        <v>13.120000250637531</v>
      </c>
      <c r="L270" s="6">
        <v>13.672499731183052</v>
      </c>
      <c r="M270" s="35">
        <v>12.757499516010284</v>
      </c>
      <c r="N270" s="5">
        <v>15.523749962449074</v>
      </c>
      <c r="O270" s="6">
        <v>15.75000025331974</v>
      </c>
      <c r="P270" s="35">
        <v>14.721250161528587</v>
      </c>
      <c r="Q270" s="5">
        <v>55.675417867435158</v>
      </c>
      <c r="R270" s="6">
        <v>46.472910662824205</v>
      </c>
      <c r="S270" s="35">
        <v>46.36625360230547</v>
      </c>
      <c r="T270" s="69">
        <f t="shared" si="31"/>
        <v>72</v>
      </c>
      <c r="U270" s="23">
        <f t="shared" si="32"/>
        <v>8.8407356459351952E-2</v>
      </c>
      <c r="V270" s="8">
        <f t="shared" si="33"/>
        <v>7.0812628110767759E-2</v>
      </c>
      <c r="W270" s="11">
        <f t="shared" si="34"/>
        <v>7.5717315568183369E-2</v>
      </c>
      <c r="X270" s="23">
        <f t="shared" ref="X270:X276" si="36">U270/AVERAGE($U$276:$W$276)</f>
        <v>3.0183178225747769</v>
      </c>
      <c r="Y270" s="23">
        <f t="shared" si="35"/>
        <v>2.4176157511095959</v>
      </c>
      <c r="Z270" s="23">
        <f t="shared" si="35"/>
        <v>2.5850668112901261</v>
      </c>
    </row>
    <row r="271" spans="1:26" x14ac:dyDescent="0.3">
      <c r="A271" s="69" t="s">
        <v>543</v>
      </c>
      <c r="B271" s="23" t="s">
        <v>97</v>
      </c>
      <c r="C271" s="8" t="s">
        <v>98</v>
      </c>
      <c r="D271" s="23" t="s">
        <v>99</v>
      </c>
      <c r="E271" s="23" t="s">
        <v>82</v>
      </c>
      <c r="F271" s="8">
        <v>4</v>
      </c>
      <c r="G271" s="11" t="s">
        <v>562</v>
      </c>
      <c r="H271" s="5">
        <v>5.9399999678134918</v>
      </c>
      <c r="I271" s="6">
        <v>6.4525000751018524</v>
      </c>
      <c r="J271" s="35">
        <v>5.7574999518692493</v>
      </c>
      <c r="K271" s="5">
        <v>13.376250118017197</v>
      </c>
      <c r="L271" s="6">
        <v>13.737500458955765</v>
      </c>
      <c r="M271" s="35">
        <v>12.338750064373016</v>
      </c>
      <c r="N271" s="5">
        <v>15.612499788403511</v>
      </c>
      <c r="O271" s="6">
        <v>15.195000171661377</v>
      </c>
      <c r="P271" s="35">
        <v>15.086250007152557</v>
      </c>
      <c r="Q271" s="5">
        <v>46.979394812680098</v>
      </c>
      <c r="R271" s="6">
        <v>45.9645821325648</v>
      </c>
      <c r="S271" s="35">
        <v>46.5063688760806</v>
      </c>
      <c r="T271" s="69">
        <f t="shared" si="31"/>
        <v>72</v>
      </c>
      <c r="U271" s="23">
        <f t="shared" si="32"/>
        <v>7.3169788490461976E-2</v>
      </c>
      <c r="V271" s="8">
        <f t="shared" si="33"/>
        <v>6.9706673638057895E-2</v>
      </c>
      <c r="W271" s="11">
        <f t="shared" si="34"/>
        <v>7.8523568421723991E-2</v>
      </c>
      <c r="X271" s="23">
        <f t="shared" si="36"/>
        <v>2.4980916240418374</v>
      </c>
      <c r="Y271" s="23">
        <f t="shared" si="35"/>
        <v>2.3798573311135036</v>
      </c>
      <c r="Z271" s="23">
        <f t="shared" si="35"/>
        <v>2.6808751618812603</v>
      </c>
    </row>
    <row r="272" spans="1:26" x14ac:dyDescent="0.3">
      <c r="A272" s="69" t="s">
        <v>543</v>
      </c>
      <c r="B272" s="23" t="s">
        <v>101</v>
      </c>
      <c r="C272" s="8" t="s">
        <v>102</v>
      </c>
      <c r="D272" s="23" t="s">
        <v>666</v>
      </c>
      <c r="E272" s="23" t="s">
        <v>82</v>
      </c>
      <c r="F272" s="8">
        <v>4</v>
      </c>
      <c r="G272" s="11" t="s">
        <v>563</v>
      </c>
      <c r="H272" s="5">
        <v>5.8325000107288361</v>
      </c>
      <c r="I272" s="6">
        <v>5.6849999353289604</v>
      </c>
      <c r="J272" s="35">
        <v>5.7162499986588955</v>
      </c>
      <c r="K272" s="5">
        <v>12.010000087320805</v>
      </c>
      <c r="L272" s="6">
        <v>11.948750168085098</v>
      </c>
      <c r="M272" s="35">
        <v>11.964999884366989</v>
      </c>
      <c r="N272" s="5">
        <v>13.738749921321869</v>
      </c>
      <c r="O272" s="6">
        <v>13.318749889731407</v>
      </c>
      <c r="P272" s="35">
        <v>13.268750160932541</v>
      </c>
      <c r="Q272" s="5">
        <v>0</v>
      </c>
      <c r="R272" s="6">
        <v>0</v>
      </c>
      <c r="S272" s="35">
        <v>0</v>
      </c>
      <c r="T272" s="69">
        <f t="shared" si="31"/>
        <v>72</v>
      </c>
      <c r="U272" s="23">
        <f t="shared" si="32"/>
        <v>0</v>
      </c>
      <c r="V272" s="8">
        <f t="shared" si="33"/>
        <v>0</v>
      </c>
      <c r="W272" s="11">
        <f t="shared" si="34"/>
        <v>0</v>
      </c>
      <c r="X272" s="23">
        <f t="shared" si="36"/>
        <v>0</v>
      </c>
      <c r="Y272" s="23">
        <f t="shared" si="35"/>
        <v>0</v>
      </c>
      <c r="Z272" s="23">
        <f t="shared" si="35"/>
        <v>0</v>
      </c>
    </row>
    <row r="273" spans="1:26" x14ac:dyDescent="0.3">
      <c r="A273" s="69" t="s">
        <v>543</v>
      </c>
      <c r="B273" s="23" t="s">
        <v>105</v>
      </c>
      <c r="C273" s="8" t="s">
        <v>106</v>
      </c>
      <c r="D273" s="23" t="s">
        <v>669</v>
      </c>
      <c r="E273" s="23" t="s">
        <v>82</v>
      </c>
      <c r="F273" s="8">
        <v>4</v>
      </c>
      <c r="G273" s="11" t="s">
        <v>564</v>
      </c>
      <c r="H273" s="5">
        <v>7.5275000184774399</v>
      </c>
      <c r="I273" s="6">
        <v>7.5425002723932266</v>
      </c>
      <c r="J273" s="35">
        <v>7.1025000885128975</v>
      </c>
      <c r="K273" s="5">
        <v>13.90250027179718</v>
      </c>
      <c r="L273" s="6">
        <v>14.018749818205833</v>
      </c>
      <c r="M273" s="35">
        <v>12.811250053346157</v>
      </c>
      <c r="N273" s="5">
        <v>15.738750249147415</v>
      </c>
      <c r="O273" s="6">
        <v>15.44874981045723</v>
      </c>
      <c r="P273" s="35">
        <v>14.120000228285789</v>
      </c>
      <c r="Q273" s="5">
        <v>26.820259365994232</v>
      </c>
      <c r="R273" s="6">
        <v>27.251066282420702</v>
      </c>
      <c r="S273" s="35">
        <v>25.237694524495701</v>
      </c>
      <c r="T273" s="69">
        <f t="shared" si="31"/>
        <v>72</v>
      </c>
      <c r="U273" s="23">
        <f t="shared" si="32"/>
        <v>4.0191001081417904E-2</v>
      </c>
      <c r="V273" s="8">
        <f t="shared" si="33"/>
        <v>4.0497944175673387E-2</v>
      </c>
      <c r="W273" s="11">
        <f t="shared" si="34"/>
        <v>4.104090548574775E-2</v>
      </c>
      <c r="X273" s="23">
        <f t="shared" si="36"/>
        <v>1.3721619979321686</v>
      </c>
      <c r="Y273" s="23">
        <f t="shared" si="35"/>
        <v>1.3826413499794559</v>
      </c>
      <c r="Z273" s="23">
        <f t="shared" si="35"/>
        <v>1.40117860598167</v>
      </c>
    </row>
    <row r="274" spans="1:26" x14ac:dyDescent="0.3">
      <c r="A274" s="69" t="s">
        <v>543</v>
      </c>
      <c r="B274" s="23" t="s">
        <v>109</v>
      </c>
      <c r="C274" s="8" t="s">
        <v>110</v>
      </c>
      <c r="D274" s="23" t="s">
        <v>665</v>
      </c>
      <c r="E274" s="23" t="s">
        <v>82</v>
      </c>
      <c r="F274" s="8">
        <v>4</v>
      </c>
      <c r="G274" s="11" t="s">
        <v>565</v>
      </c>
      <c r="H274" s="5">
        <v>6.1637500301003456</v>
      </c>
      <c r="I274" s="6">
        <v>6.8462500348687172</v>
      </c>
      <c r="J274" s="35">
        <v>6.5275000408291817</v>
      </c>
      <c r="K274" s="5">
        <v>13.326249644160271</v>
      </c>
      <c r="L274" s="6">
        <v>13.348750025033951</v>
      </c>
      <c r="M274" s="35">
        <v>12.758750095963478</v>
      </c>
      <c r="N274" s="5">
        <v>14.2000002562999</v>
      </c>
      <c r="O274" s="6">
        <v>14.4612503945827</v>
      </c>
      <c r="P274" s="35">
        <v>13.8962497711181</v>
      </c>
      <c r="Q274" s="5">
        <v>41.118040345821299</v>
      </c>
      <c r="R274" s="6">
        <v>37.4197694524496</v>
      </c>
      <c r="S274" s="35">
        <v>39.042536023054801</v>
      </c>
      <c r="T274" s="69">
        <f t="shared" si="31"/>
        <v>72</v>
      </c>
      <c r="U274" s="23">
        <f t="shared" si="32"/>
        <v>6.4281089084454304E-2</v>
      </c>
      <c r="V274" s="8">
        <f t="shared" si="33"/>
        <v>5.8400863661193923E-2</v>
      </c>
      <c r="W274" s="11">
        <f t="shared" si="34"/>
        <v>6.3751242169427583E-2</v>
      </c>
      <c r="X274" s="23">
        <f t="shared" si="36"/>
        <v>2.1946223098225142</v>
      </c>
      <c r="Y274" s="23">
        <f t="shared" si="35"/>
        <v>1.993865382949076</v>
      </c>
      <c r="Z274" s="23">
        <f t="shared" si="35"/>
        <v>2.1765327927177163</v>
      </c>
    </row>
    <row r="275" spans="1:26" x14ac:dyDescent="0.3">
      <c r="A275" s="69" t="s">
        <v>543</v>
      </c>
      <c r="B275" s="23" t="s">
        <v>113</v>
      </c>
      <c r="C275" s="8" t="s">
        <v>114</v>
      </c>
      <c r="D275" s="23" t="s">
        <v>670</v>
      </c>
      <c r="E275" s="23" t="s">
        <v>82</v>
      </c>
      <c r="F275" s="8">
        <v>4</v>
      </c>
      <c r="G275" s="11" t="s">
        <v>566</v>
      </c>
      <c r="H275" s="5">
        <v>4.9475000239908695</v>
      </c>
      <c r="I275" s="6">
        <v>5.0087499432265759</v>
      </c>
      <c r="J275" s="35">
        <v>4.8012500628829002</v>
      </c>
      <c r="K275" s="5">
        <v>11.54750008136034</v>
      </c>
      <c r="L275" s="6">
        <v>11.435000039637089</v>
      </c>
      <c r="M275" s="35">
        <v>11.336249858140945</v>
      </c>
      <c r="N275" s="5">
        <v>13.898749649524689</v>
      </c>
      <c r="O275" s="6">
        <v>13.25250007212162</v>
      </c>
      <c r="P275" s="35">
        <v>13.4637501090765</v>
      </c>
      <c r="Q275" s="5">
        <v>4.5692507204609996</v>
      </c>
      <c r="R275" s="6">
        <v>4.6782545777892999</v>
      </c>
      <c r="S275" s="35">
        <v>4.8619596541785999</v>
      </c>
      <c r="T275" s="69">
        <f t="shared" si="31"/>
        <v>72</v>
      </c>
      <c r="U275" s="23">
        <f t="shared" si="32"/>
        <v>8.243578495106053E-3</v>
      </c>
      <c r="V275" s="8">
        <f t="shared" si="33"/>
        <v>8.5232738696492619E-3</v>
      </c>
      <c r="W275" s="11">
        <f t="shared" si="34"/>
        <v>8.9351264656521712E-3</v>
      </c>
      <c r="X275" s="23">
        <f t="shared" si="36"/>
        <v>0.28144422466712843</v>
      </c>
      <c r="Y275" s="23">
        <f t="shared" si="35"/>
        <v>0.29099331161741682</v>
      </c>
      <c r="Z275" s="23">
        <f t="shared" si="35"/>
        <v>0.30505438165247467</v>
      </c>
    </row>
    <row r="276" spans="1:26" x14ac:dyDescent="0.3">
      <c r="A276" s="69" t="s">
        <v>543</v>
      </c>
      <c r="B276" s="23" t="s">
        <v>86</v>
      </c>
      <c r="C276" s="8" t="s">
        <v>86</v>
      </c>
      <c r="D276" s="11" t="s">
        <v>86</v>
      </c>
      <c r="E276" s="23" t="s">
        <v>87</v>
      </c>
      <c r="F276" s="8">
        <v>4</v>
      </c>
      <c r="G276" s="11" t="s">
        <v>559</v>
      </c>
      <c r="H276" s="5">
        <v>6.1087499372661114</v>
      </c>
      <c r="I276" s="6">
        <v>6.3262498937547207</v>
      </c>
      <c r="J276" s="35">
        <v>6.4362498000264168</v>
      </c>
      <c r="K276" s="5">
        <v>13.213749974966049</v>
      </c>
      <c r="L276" s="6">
        <v>13.108749687671661</v>
      </c>
      <c r="M276" s="35">
        <v>12.539999932050705</v>
      </c>
      <c r="N276" s="5">
        <v>14.971250295639038</v>
      </c>
      <c r="O276" s="6">
        <v>13.96000012755394</v>
      </c>
      <c r="P276" s="35">
        <v>14.224999770522118</v>
      </c>
      <c r="Q276" s="5">
        <v>17.6077521613832</v>
      </c>
      <c r="R276" s="6">
        <v>15.815684556434499</v>
      </c>
      <c r="S276" s="35">
        <v>21.051757925072</v>
      </c>
      <c r="T276" s="69">
        <f t="shared" si="31"/>
        <v>72</v>
      </c>
      <c r="U276" s="23">
        <f t="shared" si="32"/>
        <v>2.776109512619707E-2</v>
      </c>
      <c r="V276" s="8">
        <f t="shared" si="33"/>
        <v>2.5135381795330914E-2</v>
      </c>
      <c r="W276" s="11">
        <f t="shared" si="34"/>
        <v>3.4974345492994323E-2</v>
      </c>
      <c r="X276" s="23">
        <f t="shared" si="36"/>
        <v>0.94779226016242546</v>
      </c>
      <c r="Y276" s="23">
        <f t="shared" si="35"/>
        <v>0.85814771404177115</v>
      </c>
      <c r="Z276" s="23">
        <f t="shared" si="35"/>
        <v>1.1940600257958034</v>
      </c>
    </row>
    <row r="277" spans="1:26" x14ac:dyDescent="0.3">
      <c r="A277" s="69" t="s">
        <v>543</v>
      </c>
      <c r="B277" s="23" t="s">
        <v>343</v>
      </c>
      <c r="C277" s="8"/>
      <c r="D277" s="11" t="s">
        <v>344</v>
      </c>
      <c r="E277" s="23" t="s">
        <v>120</v>
      </c>
      <c r="F277" s="8">
        <v>3</v>
      </c>
      <c r="G277" s="11" t="s">
        <v>567</v>
      </c>
      <c r="H277" s="36">
        <v>5.0112500786781311</v>
      </c>
      <c r="I277" s="10">
        <v>5.7000000029802322</v>
      </c>
      <c r="J277" s="37">
        <v>5.149999912828207</v>
      </c>
      <c r="K277" s="36">
        <v>8.8012497648596693</v>
      </c>
      <c r="L277" s="10">
        <v>7.1675001904368001</v>
      </c>
      <c r="M277" s="37">
        <v>8.3862499818204999</v>
      </c>
      <c r="N277" s="23" t="s">
        <v>32</v>
      </c>
      <c r="O277" s="8" t="s">
        <v>32</v>
      </c>
      <c r="P277" s="11" t="s">
        <v>32</v>
      </c>
      <c r="Q277" s="36">
        <v>13.028904872852101</v>
      </c>
      <c r="R277" s="10">
        <v>13.153295351788818</v>
      </c>
      <c r="S277" s="37">
        <v>14.743841726386099</v>
      </c>
      <c r="T277" s="69">
        <f t="shared" si="31"/>
        <v>48</v>
      </c>
      <c r="U277" s="23">
        <f t="shared" si="32"/>
        <v>6.1681130620373122E-2</v>
      </c>
      <c r="V277" s="8">
        <f t="shared" si="33"/>
        <v>7.6463754228069489E-2</v>
      </c>
      <c r="W277" s="11">
        <f t="shared" si="34"/>
        <v>7.3254045602163392E-2</v>
      </c>
      <c r="X277" s="23">
        <f>U277/AVERAGE($U$313:$W$314)</f>
        <v>0.86189703515071525</v>
      </c>
      <c r="Y277" s="23">
        <f t="shared" ref="Y277:Z292" si="37">V277/AVERAGE($U$313:$W$314)</f>
        <v>1.0684610091096185</v>
      </c>
      <c r="Z277" s="23">
        <f t="shared" si="37"/>
        <v>1.0236103664488565</v>
      </c>
    </row>
    <row r="278" spans="1:26" ht="15.6" x14ac:dyDescent="0.3">
      <c r="A278" s="69" t="s">
        <v>543</v>
      </c>
      <c r="B278" s="23" t="s">
        <v>346</v>
      </c>
      <c r="C278" s="8"/>
      <c r="D278" s="11" t="s">
        <v>346</v>
      </c>
      <c r="E278" s="23" t="s">
        <v>120</v>
      </c>
      <c r="F278" s="8">
        <v>3</v>
      </c>
      <c r="G278" s="58" t="s">
        <v>568</v>
      </c>
      <c r="H278" s="36">
        <v>6.4874999225139618</v>
      </c>
      <c r="I278" s="10">
        <v>6.3012499362230301</v>
      </c>
      <c r="J278" s="37">
        <v>6.8174999207258224</v>
      </c>
      <c r="K278" s="36">
        <v>12.203750059008501</v>
      </c>
      <c r="L278" s="10">
        <v>12.592500120401301</v>
      </c>
      <c r="M278" s="37">
        <v>12.632500052452</v>
      </c>
      <c r="N278" s="23" t="s">
        <v>32</v>
      </c>
      <c r="O278" s="8" t="s">
        <v>32</v>
      </c>
      <c r="P278" s="11" t="s">
        <v>32</v>
      </c>
      <c r="Q278" s="36">
        <v>131.35594743353101</v>
      </c>
      <c r="R278" s="10">
        <v>137.40917946019999</v>
      </c>
      <c r="S278" s="37">
        <v>135.068228095157</v>
      </c>
      <c r="T278" s="69">
        <f t="shared" si="31"/>
        <v>48</v>
      </c>
      <c r="U278" s="23">
        <f t="shared" si="32"/>
        <v>0.44848218374949211</v>
      </c>
      <c r="V278" s="8">
        <f t="shared" si="33"/>
        <v>0.45466606494071454</v>
      </c>
      <c r="W278" s="11">
        <f t="shared" si="34"/>
        <v>0.44550507135805079</v>
      </c>
      <c r="X278" s="23">
        <f t="shared" ref="X278:Z314" si="38">U278/AVERAGE($U$313:$W$314)</f>
        <v>6.2668349396943537</v>
      </c>
      <c r="Y278" s="23">
        <f t="shared" si="37"/>
        <v>6.3532449780777682</v>
      </c>
      <c r="Z278" s="23">
        <f t="shared" si="37"/>
        <v>6.2252344645135986</v>
      </c>
    </row>
    <row r="279" spans="1:26" x14ac:dyDescent="0.3">
      <c r="A279" s="69" t="s">
        <v>543</v>
      </c>
      <c r="B279" s="23" t="s">
        <v>348</v>
      </c>
      <c r="C279" s="8"/>
      <c r="D279" s="11" t="s">
        <v>349</v>
      </c>
      <c r="E279" s="23" t="s">
        <v>120</v>
      </c>
      <c r="F279" s="8">
        <v>3</v>
      </c>
      <c r="G279" s="11" t="s">
        <v>569</v>
      </c>
      <c r="H279" s="36">
        <v>4.0337500162422657</v>
      </c>
      <c r="I279" s="10">
        <v>4.0124999359250069</v>
      </c>
      <c r="J279" s="37">
        <v>3.9024999365210533</v>
      </c>
      <c r="K279" s="36">
        <v>6.9475000724196434</v>
      </c>
      <c r="L279" s="10">
        <v>7.682500034570694</v>
      </c>
      <c r="M279" s="37">
        <v>7.6150000095367432</v>
      </c>
      <c r="N279" s="23" t="s">
        <v>32</v>
      </c>
      <c r="O279" s="8" t="s">
        <v>32</v>
      </c>
      <c r="P279" s="11" t="s">
        <v>32</v>
      </c>
      <c r="Q279" s="36">
        <v>26.349306850217282</v>
      </c>
      <c r="R279" s="10">
        <v>4.4701242909033132</v>
      </c>
      <c r="S279" s="37">
        <v>20.146186904122125</v>
      </c>
      <c r="T279" s="69">
        <f t="shared" si="31"/>
        <v>48</v>
      </c>
      <c r="U279" s="23">
        <f t="shared" si="32"/>
        <v>0.15802630787787134</v>
      </c>
      <c r="V279" s="8">
        <f t="shared" si="33"/>
        <v>2.4244084340970157E-2</v>
      </c>
      <c r="W279" s="11">
        <f t="shared" si="34"/>
        <v>0.11023302078623215</v>
      </c>
      <c r="X279" s="23">
        <f t="shared" si="38"/>
        <v>2.208169741148748</v>
      </c>
      <c r="Y279" s="23">
        <f t="shared" si="37"/>
        <v>0.33877304458041496</v>
      </c>
      <c r="Z279" s="23">
        <f t="shared" si="37"/>
        <v>1.5403335320831368</v>
      </c>
    </row>
    <row r="280" spans="1:26" x14ac:dyDescent="0.3">
      <c r="A280" s="69" t="s">
        <v>543</v>
      </c>
      <c r="B280" s="23" t="s">
        <v>351</v>
      </c>
      <c r="C280" s="8"/>
      <c r="D280" s="11" t="s">
        <v>351</v>
      </c>
      <c r="E280" s="23" t="s">
        <v>120</v>
      </c>
      <c r="F280" s="8">
        <v>3</v>
      </c>
      <c r="G280" s="59" t="s">
        <v>570</v>
      </c>
      <c r="H280" s="36">
        <v>5.0350000150501728</v>
      </c>
      <c r="I280" s="10">
        <v>5.4224999621510506</v>
      </c>
      <c r="J280" s="37">
        <v>5.9037500992417336</v>
      </c>
      <c r="K280" s="36">
        <v>12.228750132024199</v>
      </c>
      <c r="L280" s="10">
        <v>11.7950000315904</v>
      </c>
      <c r="M280" s="37">
        <v>12.417499952018201</v>
      </c>
      <c r="N280" s="23" t="s">
        <v>32</v>
      </c>
      <c r="O280" s="8" t="s">
        <v>32</v>
      </c>
      <c r="P280" s="11" t="s">
        <v>32</v>
      </c>
      <c r="Q280" s="36">
        <v>66.331159719600706</v>
      </c>
      <c r="R280" s="10">
        <v>65.014507735723996</v>
      </c>
      <c r="S280" s="37">
        <v>76.6782363865549</v>
      </c>
      <c r="T280" s="69">
        <f t="shared" si="31"/>
        <v>48</v>
      </c>
      <c r="U280" s="23">
        <f t="shared" si="32"/>
        <v>0.22600824220067237</v>
      </c>
      <c r="V280" s="8">
        <f t="shared" si="33"/>
        <v>0.22966831836087487</v>
      </c>
      <c r="W280" s="11">
        <f t="shared" si="34"/>
        <v>0.25729225113362592</v>
      </c>
      <c r="X280" s="23">
        <f t="shared" si="38"/>
        <v>3.1581106233491072</v>
      </c>
      <c r="Y280" s="23">
        <f t="shared" si="37"/>
        <v>3.2092544457657217</v>
      </c>
      <c r="Z280" s="23">
        <f t="shared" si="37"/>
        <v>3.5952555698789159</v>
      </c>
    </row>
    <row r="281" spans="1:26" ht="15.6" x14ac:dyDescent="0.3">
      <c r="A281" s="69" t="s">
        <v>543</v>
      </c>
      <c r="B281" s="23" t="s">
        <v>353</v>
      </c>
      <c r="C281" s="8"/>
      <c r="D281" s="23" t="s">
        <v>354</v>
      </c>
      <c r="E281" s="23" t="s">
        <v>120</v>
      </c>
      <c r="F281" s="8">
        <v>3</v>
      </c>
      <c r="G281" s="58" t="s">
        <v>571</v>
      </c>
      <c r="H281" s="36">
        <v>5.2450000308454037</v>
      </c>
      <c r="I281" s="10">
        <v>4.6350000891834497</v>
      </c>
      <c r="J281" s="37">
        <v>2.1862499881535769</v>
      </c>
      <c r="K281" s="36">
        <v>11.591250121593401</v>
      </c>
      <c r="L281" s="10">
        <v>11.342500008642601</v>
      </c>
      <c r="M281" s="37">
        <v>10.641250014305101</v>
      </c>
      <c r="N281" s="23" t="s">
        <v>32</v>
      </c>
      <c r="O281" s="8" t="s">
        <v>32</v>
      </c>
      <c r="P281" s="11" t="s">
        <v>32</v>
      </c>
      <c r="Q281" s="36">
        <v>103.57408421671001</v>
      </c>
      <c r="R281" s="10">
        <v>102.05341841192801</v>
      </c>
      <c r="S281" s="37">
        <v>100.726725284327</v>
      </c>
      <c r="T281" s="69">
        <f t="shared" si="31"/>
        <v>48</v>
      </c>
      <c r="U281" s="23">
        <f t="shared" si="32"/>
        <v>0.37231418501817909</v>
      </c>
      <c r="V281" s="8">
        <f t="shared" si="33"/>
        <v>0.37489316851872295</v>
      </c>
      <c r="W281" s="11">
        <f t="shared" si="34"/>
        <v>0.39440355984541059</v>
      </c>
      <c r="X281" s="23">
        <f t="shared" si="38"/>
        <v>5.2025066496711085</v>
      </c>
      <c r="Y281" s="23">
        <f t="shared" si="37"/>
        <v>5.2385438981856032</v>
      </c>
      <c r="Z281" s="23">
        <f t="shared" si="37"/>
        <v>5.5111710091022115</v>
      </c>
    </row>
    <row r="282" spans="1:26" x14ac:dyDescent="0.3">
      <c r="A282" s="69" t="s">
        <v>543</v>
      </c>
      <c r="B282" s="23" t="s">
        <v>356</v>
      </c>
      <c r="C282" s="8"/>
      <c r="D282" s="11" t="s">
        <v>357</v>
      </c>
      <c r="E282" s="23" t="s">
        <v>120</v>
      </c>
      <c r="F282" s="8">
        <v>3</v>
      </c>
      <c r="G282" s="11" t="s">
        <v>572</v>
      </c>
      <c r="H282" s="36">
        <v>3.4775000065565109</v>
      </c>
      <c r="I282" s="10">
        <v>3.4774999134242535</v>
      </c>
      <c r="J282" s="37">
        <v>3.7787499837577343</v>
      </c>
      <c r="K282" s="36">
        <v>7.8287499025464058</v>
      </c>
      <c r="L282" s="10">
        <v>6.8799998611211777</v>
      </c>
      <c r="M282" s="37">
        <v>6.0062498785555363</v>
      </c>
      <c r="N282" s="23" t="s">
        <v>32</v>
      </c>
      <c r="O282" s="8" t="s">
        <v>32</v>
      </c>
      <c r="P282" s="11" t="s">
        <v>32</v>
      </c>
      <c r="Q282" s="36">
        <v>28.2689421455418</v>
      </c>
      <c r="R282" s="10">
        <v>25.364974516889411</v>
      </c>
      <c r="S282" s="37">
        <v>25.157908360697341</v>
      </c>
      <c r="T282" s="69">
        <f t="shared" si="31"/>
        <v>48</v>
      </c>
      <c r="U282" s="23">
        <f t="shared" si="32"/>
        <v>0.15045474744498558</v>
      </c>
      <c r="V282" s="8">
        <f t="shared" si="33"/>
        <v>0.15361540109558888</v>
      </c>
      <c r="W282" s="11">
        <f t="shared" si="34"/>
        <v>0.17452590266654355</v>
      </c>
      <c r="X282" s="23">
        <f t="shared" si="38"/>
        <v>2.1023690623522859</v>
      </c>
      <c r="Y282" s="23">
        <f t="shared" si="37"/>
        <v>2.1465342386905664</v>
      </c>
      <c r="Z282" s="23">
        <f t="shared" si="37"/>
        <v>2.4387256937798694</v>
      </c>
    </row>
    <row r="283" spans="1:26" x14ac:dyDescent="0.3">
      <c r="A283" s="69" t="s">
        <v>543</v>
      </c>
      <c r="B283" s="23" t="s">
        <v>359</v>
      </c>
      <c r="C283" s="8"/>
      <c r="D283" s="11" t="s">
        <v>360</v>
      </c>
      <c r="E283" s="23" t="s">
        <v>120</v>
      </c>
      <c r="F283" s="8">
        <v>3</v>
      </c>
      <c r="G283" s="11" t="s">
        <v>573</v>
      </c>
      <c r="H283" s="36">
        <v>5.2500001154839993</v>
      </c>
      <c r="I283" s="10">
        <v>5.7387501001358032</v>
      </c>
      <c r="J283" s="37">
        <v>6.2087501399219036</v>
      </c>
      <c r="K283" s="36">
        <v>9.3149999156594276</v>
      </c>
      <c r="L283" s="10">
        <v>9.3449998646974564</v>
      </c>
      <c r="M283" s="37">
        <v>9.3674998730421066</v>
      </c>
      <c r="N283" s="23" t="s">
        <v>32</v>
      </c>
      <c r="O283" s="8" t="s">
        <v>32</v>
      </c>
      <c r="P283" s="11" t="s">
        <v>32</v>
      </c>
      <c r="Q283" s="36">
        <v>23.317524040684098</v>
      </c>
      <c r="R283" s="10">
        <v>23.399119089603801</v>
      </c>
      <c r="S283" s="37">
        <v>24.708472073859799</v>
      </c>
      <c r="T283" s="69">
        <f t="shared" si="31"/>
        <v>48</v>
      </c>
      <c r="U283" s="23">
        <f t="shared" si="32"/>
        <v>0.10430096730992744</v>
      </c>
      <c r="V283" s="8">
        <f t="shared" si="33"/>
        <v>0.10432994216332424</v>
      </c>
      <c r="W283" s="11">
        <f t="shared" si="34"/>
        <v>0.10990335561219715</v>
      </c>
      <c r="X283" s="23">
        <f t="shared" si="38"/>
        <v>1.4574423909487397</v>
      </c>
      <c r="Y283" s="23">
        <f t="shared" si="37"/>
        <v>1.4578472690692517</v>
      </c>
      <c r="Z283" s="23">
        <f t="shared" si="37"/>
        <v>1.5357269784542484</v>
      </c>
    </row>
    <row r="284" spans="1:26" x14ac:dyDescent="0.3">
      <c r="A284" s="69" t="s">
        <v>543</v>
      </c>
      <c r="B284" s="23" t="s">
        <v>362</v>
      </c>
      <c r="C284" s="8"/>
      <c r="D284" s="11" t="s">
        <v>363</v>
      </c>
      <c r="E284" s="23" t="s">
        <v>120</v>
      </c>
      <c r="F284" s="8">
        <v>3</v>
      </c>
      <c r="G284" s="11" t="s">
        <v>574</v>
      </c>
      <c r="H284" s="36">
        <v>4.7999999485909939</v>
      </c>
      <c r="I284" s="10">
        <v>5.7862499728798866</v>
      </c>
      <c r="J284" s="37">
        <v>6.3199999742209911</v>
      </c>
      <c r="K284" s="36">
        <v>8.3412500098347664</v>
      </c>
      <c r="L284" s="10">
        <v>10.030000098049641</v>
      </c>
      <c r="M284" s="37">
        <v>10.231250151991844</v>
      </c>
      <c r="N284" s="23" t="s">
        <v>32</v>
      </c>
      <c r="O284" s="8" t="s">
        <v>32</v>
      </c>
      <c r="P284" s="11" t="s">
        <v>32</v>
      </c>
      <c r="Q284" s="36">
        <v>37.296801661797097</v>
      </c>
      <c r="R284" s="10">
        <v>44.150642371694566</v>
      </c>
      <c r="S284" s="37">
        <v>34.348275373030418</v>
      </c>
      <c r="T284" s="69">
        <f t="shared" si="31"/>
        <v>48</v>
      </c>
      <c r="U284" s="23">
        <f t="shared" si="32"/>
        <v>0.18630701642350886</v>
      </c>
      <c r="V284" s="8">
        <f t="shared" si="33"/>
        <v>0.18341077575645526</v>
      </c>
      <c r="W284" s="11">
        <f t="shared" si="34"/>
        <v>0.13988301715644288</v>
      </c>
      <c r="X284" s="23">
        <f t="shared" si="38"/>
        <v>2.6033482763391427</v>
      </c>
      <c r="Y284" s="23">
        <f t="shared" si="37"/>
        <v>2.5628778566352617</v>
      </c>
      <c r="Z284" s="23">
        <f t="shared" si="37"/>
        <v>1.9546457164851729</v>
      </c>
    </row>
    <row r="285" spans="1:26" x14ac:dyDescent="0.3">
      <c r="A285" s="69" t="s">
        <v>543</v>
      </c>
      <c r="B285" s="23" t="s">
        <v>365</v>
      </c>
      <c r="C285" s="8"/>
      <c r="D285" s="11" t="s">
        <v>366</v>
      </c>
      <c r="E285" s="23" t="s">
        <v>120</v>
      </c>
      <c r="F285" s="8">
        <v>3</v>
      </c>
      <c r="G285" s="11" t="s">
        <v>575</v>
      </c>
      <c r="H285" s="36">
        <v>4.6424999833106995</v>
      </c>
      <c r="I285" s="10">
        <v>5.3762501105666161</v>
      </c>
      <c r="J285" s="37">
        <v>5.4162499494850636</v>
      </c>
      <c r="K285" s="36">
        <v>5.4012499079108203</v>
      </c>
      <c r="L285" s="10">
        <v>6.5162500143051103</v>
      </c>
      <c r="M285" s="37">
        <v>6.0087501108646002</v>
      </c>
      <c r="N285" s="23" t="s">
        <v>32</v>
      </c>
      <c r="O285" s="8" t="s">
        <v>32</v>
      </c>
      <c r="P285" s="11" t="s">
        <v>32</v>
      </c>
      <c r="Q285" s="36">
        <v>13.799264322710499</v>
      </c>
      <c r="R285" s="10">
        <v>13.520390009316101</v>
      </c>
      <c r="S285" s="37">
        <v>12.2646814294609</v>
      </c>
      <c r="T285" s="69">
        <f t="shared" si="31"/>
        <v>48</v>
      </c>
      <c r="U285" s="23">
        <f t="shared" si="32"/>
        <v>0.10645116530110708</v>
      </c>
      <c r="V285" s="8">
        <f t="shared" si="33"/>
        <v>8.64530339512425E-2</v>
      </c>
      <c r="W285" s="11">
        <f t="shared" si="34"/>
        <v>8.5047369829908306E-2</v>
      </c>
      <c r="X285" s="23">
        <f t="shared" si="38"/>
        <v>1.4874880346479595</v>
      </c>
      <c r="Y285" s="23">
        <f t="shared" si="37"/>
        <v>1.2080455220732995</v>
      </c>
      <c r="Z285" s="23">
        <f t="shared" si="37"/>
        <v>1.188403571181506</v>
      </c>
    </row>
    <row r="286" spans="1:26" x14ac:dyDescent="0.3">
      <c r="A286" s="69" t="s">
        <v>543</v>
      </c>
      <c r="B286" s="23" t="s">
        <v>368</v>
      </c>
      <c r="C286" s="8"/>
      <c r="D286" s="11" t="s">
        <v>369</v>
      </c>
      <c r="E286" s="23" t="s">
        <v>120</v>
      </c>
      <c r="F286" s="8">
        <v>3</v>
      </c>
      <c r="G286" s="11" t="s">
        <v>576</v>
      </c>
      <c r="H286" s="36">
        <v>5.5625000037252903</v>
      </c>
      <c r="I286" s="10">
        <v>5.5699999444186687</v>
      </c>
      <c r="J286" s="37">
        <v>5.6312498636543751</v>
      </c>
      <c r="K286" s="36">
        <v>9.4687500968575478</v>
      </c>
      <c r="L286" s="10">
        <v>7.2312500327825546</v>
      </c>
      <c r="M286" s="37">
        <v>10.752500034868717</v>
      </c>
      <c r="N286" s="23" t="s">
        <v>32</v>
      </c>
      <c r="O286" s="8" t="s">
        <v>32</v>
      </c>
      <c r="P286" s="11" t="s">
        <v>32</v>
      </c>
      <c r="Q286" s="36">
        <v>3.982414782611948</v>
      </c>
      <c r="R286" s="10">
        <v>3.5844481224059859</v>
      </c>
      <c r="S286" s="37">
        <v>15.998918571862783</v>
      </c>
      <c r="T286" s="69">
        <f t="shared" si="31"/>
        <v>48</v>
      </c>
      <c r="U286" s="23">
        <f t="shared" si="32"/>
        <v>1.7524377301980688E-2</v>
      </c>
      <c r="V286" s="8">
        <f t="shared" si="33"/>
        <v>2.0653691190757981E-2</v>
      </c>
      <c r="W286" s="11">
        <f t="shared" si="34"/>
        <v>6.199689421057402E-2</v>
      </c>
      <c r="X286" s="23">
        <f t="shared" si="38"/>
        <v>0.24487568057727468</v>
      </c>
      <c r="Y286" s="23">
        <f t="shared" si="37"/>
        <v>0.28860293290980965</v>
      </c>
      <c r="Z286" s="23">
        <f t="shared" si="37"/>
        <v>0.8663093359543067</v>
      </c>
    </row>
    <row r="287" spans="1:26" x14ac:dyDescent="0.3">
      <c r="A287" s="69" t="s">
        <v>543</v>
      </c>
      <c r="B287" s="23" t="s">
        <v>371</v>
      </c>
      <c r="C287" s="8"/>
      <c r="D287" s="11" t="s">
        <v>372</v>
      </c>
      <c r="E287" s="23" t="s">
        <v>120</v>
      </c>
      <c r="F287" s="8">
        <v>3</v>
      </c>
      <c r="G287" s="59" t="s">
        <v>577</v>
      </c>
      <c r="H287" s="36">
        <v>4.8100000247359276</v>
      </c>
      <c r="I287" s="10">
        <v>5.2775000222027302</v>
      </c>
      <c r="J287" s="37">
        <v>5.6650000624358654</v>
      </c>
      <c r="K287" s="36">
        <v>9.2262499034404755</v>
      </c>
      <c r="L287" s="10">
        <v>9.4962501898407936</v>
      </c>
      <c r="M287" s="37">
        <v>9.0650001540780067</v>
      </c>
      <c r="N287" s="23" t="s">
        <v>32</v>
      </c>
      <c r="O287" s="8" t="s">
        <v>32</v>
      </c>
      <c r="P287" s="11" t="s">
        <v>32</v>
      </c>
      <c r="Q287" s="36">
        <v>74.841813098171599</v>
      </c>
      <c r="R287" s="10">
        <v>92.305019812504895</v>
      </c>
      <c r="S287" s="37">
        <v>88.173517560870806</v>
      </c>
      <c r="T287" s="69">
        <f t="shared" si="31"/>
        <v>48</v>
      </c>
      <c r="U287" s="23">
        <f t="shared" si="32"/>
        <v>0.33799310789615905</v>
      </c>
      <c r="V287" s="8">
        <f t="shared" si="33"/>
        <v>0.40500644099523075</v>
      </c>
      <c r="W287" s="11">
        <f t="shared" si="34"/>
        <v>0.40528367375521052</v>
      </c>
      <c r="X287" s="23">
        <f t="shared" si="38"/>
        <v>4.7229234397473023</v>
      </c>
      <c r="Y287" s="23">
        <f t="shared" si="37"/>
        <v>5.6593296393862511</v>
      </c>
      <c r="Z287" s="23">
        <f t="shared" si="37"/>
        <v>5.663203532284613</v>
      </c>
    </row>
    <row r="288" spans="1:26" x14ac:dyDescent="0.3">
      <c r="A288" s="69" t="s">
        <v>543</v>
      </c>
      <c r="B288" s="23" t="s">
        <v>374</v>
      </c>
      <c r="C288" s="8"/>
      <c r="D288" s="11" t="s">
        <v>375</v>
      </c>
      <c r="E288" s="23" t="s">
        <v>120</v>
      </c>
      <c r="F288" s="8">
        <v>3</v>
      </c>
      <c r="G288" s="11" t="s">
        <v>578</v>
      </c>
      <c r="H288" s="36">
        <v>5.3874999284744263</v>
      </c>
      <c r="I288" s="10">
        <v>5.156249925494194</v>
      </c>
      <c r="J288" s="37">
        <v>6.0274998657405376</v>
      </c>
      <c r="K288" s="36">
        <v>10.597500018775463</v>
      </c>
      <c r="L288" s="10">
        <v>8.8962500914931297</v>
      </c>
      <c r="M288" s="37">
        <v>11.253750137984753</v>
      </c>
      <c r="N288" s="23" t="s">
        <v>32</v>
      </c>
      <c r="O288" s="8" t="s">
        <v>32</v>
      </c>
      <c r="P288" s="11" t="s">
        <v>32</v>
      </c>
      <c r="Q288" s="36">
        <v>33.095270997920068</v>
      </c>
      <c r="R288" s="10">
        <v>36.463190058719434</v>
      </c>
      <c r="S288" s="37">
        <v>43.397910234953301</v>
      </c>
      <c r="T288" s="69">
        <f t="shared" si="31"/>
        <v>48</v>
      </c>
      <c r="U288" s="23">
        <f t="shared" si="32"/>
        <v>0.13012216300733495</v>
      </c>
      <c r="V288" s="8">
        <f t="shared" si="33"/>
        <v>0.17077977464154001</v>
      </c>
      <c r="W288" s="11">
        <f t="shared" si="34"/>
        <v>0.16067943908638527</v>
      </c>
      <c r="X288" s="23">
        <f t="shared" si="38"/>
        <v>1.8182530925653393</v>
      </c>
      <c r="Y288" s="23">
        <f t="shared" si="37"/>
        <v>2.3863794315507025</v>
      </c>
      <c r="Z288" s="23">
        <f t="shared" si="37"/>
        <v>2.2452430875593063</v>
      </c>
    </row>
    <row r="289" spans="1:26" x14ac:dyDescent="0.3">
      <c r="A289" s="69" t="s">
        <v>543</v>
      </c>
      <c r="B289" s="23" t="s">
        <v>377</v>
      </c>
      <c r="C289" s="8"/>
      <c r="D289" s="11" t="s">
        <v>377</v>
      </c>
      <c r="E289" s="23" t="s">
        <v>120</v>
      </c>
      <c r="F289" s="8">
        <v>3</v>
      </c>
      <c r="G289" s="11" t="s">
        <v>579</v>
      </c>
      <c r="H289" s="36">
        <v>3.3925000578165054</v>
      </c>
      <c r="I289" s="10">
        <v>3.5225000232458115</v>
      </c>
      <c r="J289" s="37">
        <v>3.7212499417364597</v>
      </c>
      <c r="K289" s="36">
        <v>5.5850000120699406</v>
      </c>
      <c r="L289" s="10">
        <v>6.2787500210106373</v>
      </c>
      <c r="M289" s="37">
        <v>6.927499920129776</v>
      </c>
      <c r="N289" s="23" t="s">
        <v>32</v>
      </c>
      <c r="O289" s="8" t="s">
        <v>32</v>
      </c>
      <c r="P289" s="11" t="s">
        <v>32</v>
      </c>
      <c r="Q289" s="36">
        <v>15.6322243581435</v>
      </c>
      <c r="R289" s="10">
        <v>14.111950862632501</v>
      </c>
      <c r="S289" s="37">
        <v>18.0488840350434</v>
      </c>
      <c r="T289" s="69">
        <f t="shared" si="31"/>
        <v>48</v>
      </c>
      <c r="U289" s="23">
        <f t="shared" si="32"/>
        <v>0.11662357747209899</v>
      </c>
      <c r="V289" s="8">
        <f t="shared" si="33"/>
        <v>9.3648887221511393E-2</v>
      </c>
      <c r="W289" s="11">
        <f t="shared" si="34"/>
        <v>0.10855818743616626</v>
      </c>
      <c r="X289" s="23">
        <f t="shared" si="38"/>
        <v>1.6296315362719889</v>
      </c>
      <c r="Y289" s="23">
        <f t="shared" si="37"/>
        <v>1.3085962826810471</v>
      </c>
      <c r="Z289" s="23">
        <f t="shared" si="37"/>
        <v>1.5169303634921165</v>
      </c>
    </row>
    <row r="290" spans="1:26" x14ac:dyDescent="0.3">
      <c r="A290" s="69" t="s">
        <v>543</v>
      </c>
      <c r="B290" s="23" t="s">
        <v>379</v>
      </c>
      <c r="C290" s="8"/>
      <c r="D290" s="11" t="s">
        <v>380</v>
      </c>
      <c r="E290" s="23" t="s">
        <v>120</v>
      </c>
      <c r="F290" s="8">
        <v>3</v>
      </c>
      <c r="G290" s="11" t="s">
        <v>580</v>
      </c>
      <c r="H290" s="36">
        <v>6.503749918192625</v>
      </c>
      <c r="I290" s="10">
        <v>6.3074999488890171</v>
      </c>
      <c r="J290" s="37">
        <v>6.7724999040365219</v>
      </c>
      <c r="K290" s="36">
        <v>9.5987498760223389</v>
      </c>
      <c r="L290" s="10">
        <v>10.733750090003014</v>
      </c>
      <c r="M290" s="37">
        <v>10.024999968707499</v>
      </c>
      <c r="N290" s="23" t="s">
        <v>32</v>
      </c>
      <c r="O290" s="8" t="s">
        <v>32</v>
      </c>
      <c r="P290" s="11" t="s">
        <v>32</v>
      </c>
      <c r="Q290" s="36">
        <v>26.291759115963099</v>
      </c>
      <c r="R290" s="10">
        <v>20.301091819260201</v>
      </c>
      <c r="S290" s="37">
        <v>23.700153732631399</v>
      </c>
      <c r="T290" s="69">
        <f t="shared" si="31"/>
        <v>48</v>
      </c>
      <c r="U290" s="23">
        <f t="shared" si="32"/>
        <v>0.11412839977231422</v>
      </c>
      <c r="V290" s="8">
        <f t="shared" si="33"/>
        <v>7.8805526373333976E-2</v>
      </c>
      <c r="W290" s="11">
        <f t="shared" si="34"/>
        <v>9.8504379911097936E-2</v>
      </c>
      <c r="X290" s="23">
        <f t="shared" si="38"/>
        <v>1.5947653423486832</v>
      </c>
      <c r="Y290" s="23">
        <f t="shared" si="37"/>
        <v>1.1011836010709166</v>
      </c>
      <c r="Z290" s="23">
        <f t="shared" si="37"/>
        <v>1.3764441757280714</v>
      </c>
    </row>
    <row r="291" spans="1:26" x14ac:dyDescent="0.3">
      <c r="A291" s="69" t="s">
        <v>543</v>
      </c>
      <c r="B291" s="23" t="s">
        <v>382</v>
      </c>
      <c r="C291" s="8"/>
      <c r="D291" s="11" t="s">
        <v>382</v>
      </c>
      <c r="E291" s="23" t="s">
        <v>120</v>
      </c>
      <c r="F291" s="8">
        <v>3</v>
      </c>
      <c r="G291" s="59" t="s">
        <v>581</v>
      </c>
      <c r="H291" s="36">
        <v>1.9024999812245369</v>
      </c>
      <c r="I291" s="10">
        <v>2.2287499625235796</v>
      </c>
      <c r="J291" s="37">
        <v>5.3149999119341373</v>
      </c>
      <c r="K291" s="36">
        <v>9.205000102519989</v>
      </c>
      <c r="L291" s="10">
        <v>9.3587499111890793</v>
      </c>
      <c r="M291" s="37">
        <v>9.9387500435113907</v>
      </c>
      <c r="N291" s="23" t="s">
        <v>32</v>
      </c>
      <c r="O291" s="8" t="s">
        <v>32</v>
      </c>
      <c r="P291" s="11" t="s">
        <v>32</v>
      </c>
      <c r="Q291" s="36">
        <v>67.610808411074728</v>
      </c>
      <c r="R291" s="10">
        <v>44.332569286314261</v>
      </c>
      <c r="S291" s="37">
        <v>66.935073815523481</v>
      </c>
      <c r="T291" s="69">
        <f t="shared" si="31"/>
        <v>48</v>
      </c>
      <c r="U291" s="23">
        <f t="shared" si="32"/>
        <v>0.3060420408204983</v>
      </c>
      <c r="V291" s="8">
        <f t="shared" si="33"/>
        <v>0.19737576112823654</v>
      </c>
      <c r="W291" s="11">
        <f t="shared" si="34"/>
        <v>0.28061490597612376</v>
      </c>
      <c r="X291" s="23">
        <f t="shared" si="38"/>
        <v>4.2764574021530155</v>
      </c>
      <c r="Y291" s="23">
        <f t="shared" si="37"/>
        <v>2.7580166189569399</v>
      </c>
      <c r="Z291" s="23">
        <f t="shared" si="37"/>
        <v>3.9211530827554522</v>
      </c>
    </row>
    <row r="292" spans="1:26" x14ac:dyDescent="0.3">
      <c r="A292" s="69" t="s">
        <v>543</v>
      </c>
      <c r="B292" s="23" t="s">
        <v>384</v>
      </c>
      <c r="C292" s="8"/>
      <c r="D292" s="11" t="s">
        <v>385</v>
      </c>
      <c r="E292" s="23" t="s">
        <v>120</v>
      </c>
      <c r="F292" s="8">
        <v>3</v>
      </c>
      <c r="G292" s="59" t="s">
        <v>582</v>
      </c>
      <c r="H292" s="36">
        <v>6.6787499003112316</v>
      </c>
      <c r="I292" s="10">
        <v>6.2149999663233757</v>
      </c>
      <c r="J292" s="37">
        <v>5.9612500946968794</v>
      </c>
      <c r="K292" s="36">
        <v>10.782499983906746</v>
      </c>
      <c r="L292" s="10">
        <v>9.6612501889467239</v>
      </c>
      <c r="M292" s="37">
        <v>11.160000041127205</v>
      </c>
      <c r="N292" s="23" t="s">
        <v>32</v>
      </c>
      <c r="O292" s="8" t="s">
        <v>32</v>
      </c>
      <c r="P292" s="11" t="s">
        <v>32</v>
      </c>
      <c r="Q292" s="36">
        <v>111.83790009822762</v>
      </c>
      <c r="R292" s="10">
        <v>119.22079981237988</v>
      </c>
      <c r="S292" s="37">
        <v>81.793524266350957</v>
      </c>
      <c r="T292" s="69">
        <f t="shared" si="31"/>
        <v>48</v>
      </c>
      <c r="U292" s="23">
        <f t="shared" si="32"/>
        <v>0.43217366204942254</v>
      </c>
      <c r="V292" s="8">
        <f t="shared" si="33"/>
        <v>0.51417086074420271</v>
      </c>
      <c r="W292" s="11">
        <f t="shared" si="34"/>
        <v>0.3053820339192157</v>
      </c>
      <c r="X292" s="23">
        <f t="shared" si="38"/>
        <v>6.038948933721267</v>
      </c>
      <c r="Y292" s="23">
        <f t="shared" si="37"/>
        <v>7.1847311483934471</v>
      </c>
      <c r="Z292" s="23">
        <f t="shared" si="37"/>
        <v>4.2672348411254681</v>
      </c>
    </row>
    <row r="293" spans="1:26" x14ac:dyDescent="0.3">
      <c r="A293" s="69" t="s">
        <v>543</v>
      </c>
      <c r="B293" s="23" t="s">
        <v>387</v>
      </c>
      <c r="C293" s="8"/>
      <c r="D293" s="11" t="s">
        <v>387</v>
      </c>
      <c r="E293" s="23" t="s">
        <v>120</v>
      </c>
      <c r="F293" s="8">
        <v>3</v>
      </c>
      <c r="G293" s="11" t="s">
        <v>583</v>
      </c>
      <c r="H293" s="36">
        <v>5.3900000639259815</v>
      </c>
      <c r="I293" s="10">
        <v>5.1012499257922173</v>
      </c>
      <c r="J293" s="37">
        <v>5.6337500922381878</v>
      </c>
      <c r="K293" s="36">
        <v>9.5499999821186066</v>
      </c>
      <c r="L293" s="10">
        <v>9.140000119805336</v>
      </c>
      <c r="M293" s="37">
        <v>10.476249828934669</v>
      </c>
      <c r="N293" s="23" t="s">
        <v>32</v>
      </c>
      <c r="O293" s="8" t="s">
        <v>32</v>
      </c>
      <c r="P293" s="11" t="s">
        <v>32</v>
      </c>
      <c r="Q293" s="36">
        <v>28.444599769286302</v>
      </c>
      <c r="R293" s="10">
        <v>27.412689368792137</v>
      </c>
      <c r="S293" s="37">
        <v>40.62232846540256</v>
      </c>
      <c r="T293" s="69">
        <f t="shared" si="31"/>
        <v>48</v>
      </c>
      <c r="U293" s="23">
        <f t="shared" si="32"/>
        <v>0.12410383866730319</v>
      </c>
      <c r="V293" s="8">
        <f t="shared" si="33"/>
        <v>0.12496667126856291</v>
      </c>
      <c r="W293" s="11">
        <f t="shared" si="34"/>
        <v>0.16156516377806671</v>
      </c>
      <c r="X293" s="23">
        <f t="shared" si="38"/>
        <v>1.7341564514519636</v>
      </c>
      <c r="Y293" s="23">
        <f t="shared" si="38"/>
        <v>1.7462131834440244</v>
      </c>
      <c r="Z293" s="23">
        <f t="shared" si="38"/>
        <v>2.2576197006019321</v>
      </c>
    </row>
    <row r="294" spans="1:26" x14ac:dyDescent="0.3">
      <c r="A294" s="69" t="s">
        <v>543</v>
      </c>
      <c r="B294" s="23" t="s">
        <v>389</v>
      </c>
      <c r="C294" s="8"/>
      <c r="D294" s="11" t="s">
        <v>390</v>
      </c>
      <c r="E294" s="23" t="s">
        <v>120</v>
      </c>
      <c r="F294" s="8">
        <v>3</v>
      </c>
      <c r="G294" s="11" t="s">
        <v>584</v>
      </c>
      <c r="H294" s="36">
        <v>5.4112499579787254</v>
      </c>
      <c r="I294" s="10">
        <v>5.3587500937283039</v>
      </c>
      <c r="J294" s="37">
        <v>7.2937498800456524</v>
      </c>
      <c r="K294" s="36">
        <v>10.059999860823154</v>
      </c>
      <c r="L294" s="10">
        <v>8.7812500074505806</v>
      </c>
      <c r="M294" s="37">
        <v>10.796250030398369</v>
      </c>
      <c r="N294" s="23" t="s">
        <v>32</v>
      </c>
      <c r="O294" s="8" t="s">
        <v>32</v>
      </c>
      <c r="P294" s="11" t="s">
        <v>32</v>
      </c>
      <c r="Q294" s="36">
        <v>46.892433030404099</v>
      </c>
      <c r="R294" s="10">
        <v>37.958141725717461</v>
      </c>
      <c r="S294" s="37">
        <v>54.650066073559962</v>
      </c>
      <c r="T294" s="69">
        <f t="shared" si="31"/>
        <v>48</v>
      </c>
      <c r="U294" s="23">
        <f t="shared" si="32"/>
        <v>0.19421982140136576</v>
      </c>
      <c r="V294" s="8">
        <f t="shared" si="33"/>
        <v>0.1801098063749054</v>
      </c>
      <c r="W294" s="11">
        <f t="shared" si="34"/>
        <v>0.21091453791704284</v>
      </c>
      <c r="X294" s="23">
        <f t="shared" si="38"/>
        <v>2.713917312307625</v>
      </c>
      <c r="Y294" s="23">
        <f t="shared" si="38"/>
        <v>2.51675198808412</v>
      </c>
      <c r="Z294" s="23">
        <f t="shared" si="38"/>
        <v>2.9471997849669549</v>
      </c>
    </row>
    <row r="295" spans="1:26" x14ac:dyDescent="0.3">
      <c r="A295" s="69" t="s">
        <v>543</v>
      </c>
      <c r="B295" s="23" t="s">
        <v>392</v>
      </c>
      <c r="C295" s="8"/>
      <c r="D295" s="11" t="s">
        <v>392</v>
      </c>
      <c r="E295" s="23" t="s">
        <v>120</v>
      </c>
      <c r="F295" s="8">
        <v>3</v>
      </c>
      <c r="G295" s="59" t="s">
        <v>585</v>
      </c>
      <c r="H295" s="36">
        <v>4.8925000242888927</v>
      </c>
      <c r="I295" s="10">
        <v>5.612500011920929</v>
      </c>
      <c r="J295" s="37">
        <v>6.615000031888485</v>
      </c>
      <c r="K295" s="36">
        <v>8.4787499159574509</v>
      </c>
      <c r="L295" s="10">
        <v>10.526249930262566</v>
      </c>
      <c r="M295" s="37">
        <v>10.542499832808971</v>
      </c>
      <c r="N295" s="23" t="s">
        <v>32</v>
      </c>
      <c r="O295" s="8" t="s">
        <v>32</v>
      </c>
      <c r="P295" s="11" t="s">
        <v>32</v>
      </c>
      <c r="Q295" s="36">
        <v>35.928645318167909</v>
      </c>
      <c r="R295" s="10">
        <v>56.08434907076191</v>
      </c>
      <c r="S295" s="37">
        <v>29.837336461884991</v>
      </c>
      <c r="T295" s="69">
        <f t="shared" si="31"/>
        <v>48</v>
      </c>
      <c r="U295" s="23">
        <f t="shared" si="32"/>
        <v>0.17656221767309274</v>
      </c>
      <c r="V295" s="8">
        <f t="shared" si="33"/>
        <v>0.22200193738798324</v>
      </c>
      <c r="W295" s="11">
        <f t="shared" si="34"/>
        <v>0.11792481596343492</v>
      </c>
      <c r="X295" s="23">
        <f t="shared" si="38"/>
        <v>2.4671800014283409</v>
      </c>
      <c r="Y295" s="23">
        <f t="shared" si="38"/>
        <v>3.1021287986770045</v>
      </c>
      <c r="Z295" s="23">
        <f t="shared" si="38"/>
        <v>1.6478143028073349</v>
      </c>
    </row>
    <row r="296" spans="1:26" x14ac:dyDescent="0.3">
      <c r="A296" s="69" t="s">
        <v>543</v>
      </c>
      <c r="B296" s="23" t="s">
        <v>394</v>
      </c>
      <c r="C296" s="8"/>
      <c r="D296" s="11" t="s">
        <v>395</v>
      </c>
      <c r="E296" s="23" t="s">
        <v>120</v>
      </c>
      <c r="F296" s="8">
        <v>3</v>
      </c>
      <c r="G296" s="11" t="s">
        <v>586</v>
      </c>
      <c r="H296" s="36">
        <v>4.0837501175701618</v>
      </c>
      <c r="I296" s="10">
        <v>6.5787498839199543</v>
      </c>
      <c r="J296" s="37">
        <v>8.9249998331069946</v>
      </c>
      <c r="K296" s="36">
        <v>7.8212501481175423</v>
      </c>
      <c r="L296" s="10">
        <v>7.9887501224874997</v>
      </c>
      <c r="M296" s="37">
        <v>8.2712500393389998</v>
      </c>
      <c r="N296" s="23" t="s">
        <v>32</v>
      </c>
      <c r="O296" s="8" t="s">
        <v>32</v>
      </c>
      <c r="P296" s="11" t="s">
        <v>32</v>
      </c>
      <c r="Q296" s="36">
        <v>17.497294263072298</v>
      </c>
      <c r="R296" s="10">
        <v>16.602033942165299</v>
      </c>
      <c r="S296" s="37">
        <v>19.181226461480499</v>
      </c>
      <c r="T296" s="69">
        <f t="shared" si="31"/>
        <v>48</v>
      </c>
      <c r="U296" s="23">
        <f t="shared" si="32"/>
        <v>9.321450072831193E-2</v>
      </c>
      <c r="V296" s="8">
        <f t="shared" si="33"/>
        <v>8.6590693619228276E-2</v>
      </c>
      <c r="W296" s="11">
        <f t="shared" si="34"/>
        <v>9.6625995517870225E-2</v>
      </c>
      <c r="X296" s="23">
        <f t="shared" si="38"/>
        <v>1.3025264129034904</v>
      </c>
      <c r="Y296" s="23">
        <f t="shared" si="38"/>
        <v>1.2099690999731116</v>
      </c>
      <c r="Z296" s="23">
        <f t="shared" si="38"/>
        <v>1.3501967006394484</v>
      </c>
    </row>
    <row r="297" spans="1:26" x14ac:dyDescent="0.3">
      <c r="A297" s="69" t="s">
        <v>543</v>
      </c>
      <c r="B297" s="23" t="s">
        <v>397</v>
      </c>
      <c r="C297" s="8"/>
      <c r="D297" s="11" t="s">
        <v>397</v>
      </c>
      <c r="E297" s="23" t="s">
        <v>120</v>
      </c>
      <c r="F297" s="8">
        <v>3</v>
      </c>
      <c r="G297" s="11" t="s">
        <v>587</v>
      </c>
      <c r="H297" s="36">
        <v>3.724999912083149</v>
      </c>
      <c r="I297" s="10">
        <v>4.6524998731911182</v>
      </c>
      <c r="J297" s="37">
        <v>8.4062500856816769</v>
      </c>
      <c r="K297" s="36">
        <v>7.6400000602006912</v>
      </c>
      <c r="L297" s="10">
        <v>8.6749998852610588</v>
      </c>
      <c r="M297" s="37">
        <v>9.9737498909235001</v>
      </c>
      <c r="N297" s="23" t="s">
        <v>32</v>
      </c>
      <c r="O297" s="8" t="s">
        <v>32</v>
      </c>
      <c r="P297" s="11" t="s">
        <v>32</v>
      </c>
      <c r="Q297" s="36">
        <v>27.094296396898901</v>
      </c>
      <c r="R297" s="10">
        <v>34.038193772722281</v>
      </c>
      <c r="S297" s="37">
        <v>35.260556728147549</v>
      </c>
      <c r="T297" s="69">
        <f t="shared" si="31"/>
        <v>48</v>
      </c>
      <c r="U297" s="23">
        <f t="shared" si="32"/>
        <v>0.14776557691647438</v>
      </c>
      <c r="V297" s="8">
        <f t="shared" si="33"/>
        <v>0.16348796456736189</v>
      </c>
      <c r="W297" s="11">
        <f t="shared" si="34"/>
        <v>0.14730566534557221</v>
      </c>
      <c r="X297" s="23">
        <f t="shared" si="38"/>
        <v>2.0647921229831994</v>
      </c>
      <c r="Y297" s="23">
        <f t="shared" si="38"/>
        <v>2.2844878251452196</v>
      </c>
      <c r="Z297" s="23">
        <f t="shared" si="38"/>
        <v>2.0583655802884522</v>
      </c>
    </row>
    <row r="298" spans="1:26" x14ac:dyDescent="0.3">
      <c r="A298" s="69" t="s">
        <v>543</v>
      </c>
      <c r="B298" s="23" t="s">
        <v>399</v>
      </c>
      <c r="C298" s="8"/>
      <c r="D298" s="11" t="s">
        <v>399</v>
      </c>
      <c r="E298" s="23" t="s">
        <v>120</v>
      </c>
      <c r="F298" s="8">
        <v>3</v>
      </c>
      <c r="G298" s="11" t="s">
        <v>588</v>
      </c>
      <c r="H298" s="36">
        <v>5.5649999529123306</v>
      </c>
      <c r="I298" s="10">
        <v>5.8725000359117985</v>
      </c>
      <c r="J298" s="37">
        <v>5.8487500064074993</v>
      </c>
      <c r="K298" s="36">
        <v>9.8862500861287117</v>
      </c>
      <c r="L298" s="10">
        <v>9.7925001755356789</v>
      </c>
      <c r="M298" s="37">
        <v>8.9187499135732651</v>
      </c>
      <c r="N298" s="23" t="s">
        <v>32</v>
      </c>
      <c r="O298" s="8" t="s">
        <v>32</v>
      </c>
      <c r="P298" s="11" t="s">
        <v>32</v>
      </c>
      <c r="Q298" s="36">
        <v>38.726120911254696</v>
      </c>
      <c r="R298" s="10">
        <v>36.750820538647069</v>
      </c>
      <c r="S298" s="37">
        <v>38.998062041858503</v>
      </c>
      <c r="T298" s="69">
        <f t="shared" si="31"/>
        <v>48</v>
      </c>
      <c r="U298" s="23">
        <f t="shared" si="32"/>
        <v>0.16321541102488263</v>
      </c>
      <c r="V298" s="8">
        <f t="shared" si="33"/>
        <v>0.15637315921993628</v>
      </c>
      <c r="W298" s="11">
        <f t="shared" si="34"/>
        <v>0.18219136846422532</v>
      </c>
      <c r="X298" s="23">
        <f t="shared" si="38"/>
        <v>2.2806793169706774</v>
      </c>
      <c r="Y298" s="23">
        <f t="shared" si="38"/>
        <v>2.1850695821113422</v>
      </c>
      <c r="Z298" s="23">
        <f t="shared" si="38"/>
        <v>2.5458385527307543</v>
      </c>
    </row>
    <row r="299" spans="1:26" x14ac:dyDescent="0.3">
      <c r="A299" s="69" t="s">
        <v>543</v>
      </c>
      <c r="B299" s="23" t="s">
        <v>401</v>
      </c>
      <c r="C299" s="8"/>
      <c r="D299" s="11" t="s">
        <v>401</v>
      </c>
      <c r="E299" s="23" t="s">
        <v>120</v>
      </c>
      <c r="F299" s="8">
        <v>3</v>
      </c>
      <c r="G299" s="11" t="s">
        <v>589</v>
      </c>
      <c r="H299" s="36">
        <v>5.1937500014901161</v>
      </c>
      <c r="I299" s="10">
        <v>2.9825000558048487</v>
      </c>
      <c r="J299" s="37">
        <v>6.8712498992681503</v>
      </c>
      <c r="K299" s="36">
        <v>7.5612498000264097</v>
      </c>
      <c r="L299" s="10">
        <v>8.1087499409913999</v>
      </c>
      <c r="M299" s="37">
        <v>6.82249993830919</v>
      </c>
      <c r="N299" s="23" t="s">
        <v>32</v>
      </c>
      <c r="O299" s="8" t="s">
        <v>32</v>
      </c>
      <c r="P299" s="11" t="s">
        <v>32</v>
      </c>
      <c r="Q299" s="36">
        <v>15.9820227933476</v>
      </c>
      <c r="R299" s="10">
        <v>14.067132932369899</v>
      </c>
      <c r="S299" s="37">
        <v>15.3773888705829</v>
      </c>
      <c r="T299" s="69">
        <f t="shared" si="31"/>
        <v>48</v>
      </c>
      <c r="U299" s="23">
        <f t="shared" si="32"/>
        <v>8.8069781319373611E-2</v>
      </c>
      <c r="V299" s="8">
        <f t="shared" si="33"/>
        <v>7.2283711190270564E-2</v>
      </c>
      <c r="W299" s="11">
        <f t="shared" si="34"/>
        <v>9.3913454315556547E-2</v>
      </c>
      <c r="X299" s="23">
        <f t="shared" si="38"/>
        <v>1.2306370301919862</v>
      </c>
      <c r="Y299" s="23">
        <f t="shared" si="38"/>
        <v>1.0100514653018839</v>
      </c>
      <c r="Z299" s="23">
        <f t="shared" si="38"/>
        <v>1.3122931927678514</v>
      </c>
    </row>
    <row r="300" spans="1:26" x14ac:dyDescent="0.3">
      <c r="A300" s="69" t="s">
        <v>543</v>
      </c>
      <c r="B300" s="23" t="s">
        <v>403</v>
      </c>
      <c r="C300" s="8"/>
      <c r="D300" s="11" t="s">
        <v>403</v>
      </c>
      <c r="E300" s="23" t="s">
        <v>120</v>
      </c>
      <c r="F300" s="8">
        <v>3</v>
      </c>
      <c r="G300" s="59" t="s">
        <v>590</v>
      </c>
      <c r="H300" s="36">
        <v>4.8399999737739563</v>
      </c>
      <c r="I300" s="10">
        <v>6.3087498769164085</v>
      </c>
      <c r="J300" s="37">
        <v>7.0399999618530273</v>
      </c>
      <c r="K300" s="36">
        <v>9.373750165104866</v>
      </c>
      <c r="L300" s="10">
        <v>9.4100002199411392</v>
      </c>
      <c r="M300" s="37">
        <v>8.4462499246001244</v>
      </c>
      <c r="N300" s="23" t="s">
        <v>32</v>
      </c>
      <c r="O300" s="8" t="s">
        <v>32</v>
      </c>
      <c r="P300" s="11" t="s">
        <v>32</v>
      </c>
      <c r="Q300" s="36">
        <v>63.377048777576398</v>
      </c>
      <c r="R300" s="10">
        <v>63.197090999574911</v>
      </c>
      <c r="S300" s="37">
        <v>55.870306696085798</v>
      </c>
      <c r="T300" s="69">
        <f t="shared" si="31"/>
        <v>48</v>
      </c>
      <c r="U300" s="23">
        <f t="shared" si="32"/>
        <v>0.28171332916069963</v>
      </c>
      <c r="V300" s="8">
        <f t="shared" si="33"/>
        <v>0.27983125009945631</v>
      </c>
      <c r="W300" s="11">
        <f t="shared" si="34"/>
        <v>0.27561692661852583</v>
      </c>
      <c r="X300" s="23">
        <f t="shared" si="38"/>
        <v>3.9365018235551879</v>
      </c>
      <c r="Y300" s="23">
        <f t="shared" si="38"/>
        <v>3.910202721277237</v>
      </c>
      <c r="Z300" s="23">
        <f t="shared" si="38"/>
        <v>3.8513141620558486</v>
      </c>
    </row>
    <row r="301" spans="1:26" x14ac:dyDescent="0.3">
      <c r="A301" s="69" t="s">
        <v>543</v>
      </c>
      <c r="B301" s="23" t="s">
        <v>405</v>
      </c>
      <c r="C301" s="8"/>
      <c r="D301" s="11" t="s">
        <v>405</v>
      </c>
      <c r="E301" s="23" t="s">
        <v>120</v>
      </c>
      <c r="F301" s="8">
        <v>3</v>
      </c>
      <c r="G301" s="59" t="s">
        <v>591</v>
      </c>
      <c r="H301" s="36">
        <v>5.4562500678002834</v>
      </c>
      <c r="I301" s="10">
        <v>5.3187498822808266</v>
      </c>
      <c r="J301" s="37">
        <v>4.348750039935112</v>
      </c>
      <c r="K301" s="36">
        <v>9.7850002348423004</v>
      </c>
      <c r="L301" s="10">
        <v>9.4599999487400055</v>
      </c>
      <c r="M301" s="37">
        <v>8.1662498414516449</v>
      </c>
      <c r="N301" s="23" t="s">
        <v>32</v>
      </c>
      <c r="O301" s="8" t="s">
        <v>32</v>
      </c>
      <c r="P301" s="11" t="s">
        <v>32</v>
      </c>
      <c r="Q301" s="36">
        <v>103.60273724719954</v>
      </c>
      <c r="R301" s="10">
        <v>98.115147543960305</v>
      </c>
      <c r="S301" s="37">
        <v>79.536192671196403</v>
      </c>
      <c r="T301" s="69">
        <f t="shared" si="31"/>
        <v>48</v>
      </c>
      <c r="U301" s="23">
        <f t="shared" si="32"/>
        <v>0.44116306745320027</v>
      </c>
      <c r="V301" s="8">
        <f t="shared" si="33"/>
        <v>0.4321491722850927</v>
      </c>
      <c r="W301" s="11">
        <f t="shared" si="34"/>
        <v>0.40581761424255097</v>
      </c>
      <c r="X301" s="23">
        <f t="shared" si="38"/>
        <v>6.1645617716727932</v>
      </c>
      <c r="Y301" s="23">
        <f t="shared" si="38"/>
        <v>6.0386067276842645</v>
      </c>
      <c r="Z301" s="23">
        <f t="shared" si="38"/>
        <v>5.6706645129501272</v>
      </c>
    </row>
    <row r="302" spans="1:26" x14ac:dyDescent="0.3">
      <c r="A302" s="69" t="s">
        <v>543</v>
      </c>
      <c r="B302" s="23" t="s">
        <v>407</v>
      </c>
      <c r="C302" s="8"/>
      <c r="D302" s="11" t="s">
        <v>408</v>
      </c>
      <c r="E302" s="23" t="s">
        <v>120</v>
      </c>
      <c r="F302" s="8">
        <v>3</v>
      </c>
      <c r="G302" s="11" t="s">
        <v>592</v>
      </c>
      <c r="H302" s="36">
        <v>6.4749998040497303</v>
      </c>
      <c r="I302" s="10">
        <v>6.158750131726265</v>
      </c>
      <c r="J302" s="37">
        <v>5.0575000233948231</v>
      </c>
      <c r="K302" s="36">
        <v>10.084999911487103</v>
      </c>
      <c r="L302" s="10">
        <v>11.198749952018261</v>
      </c>
      <c r="M302" s="37">
        <v>9.9812502041459084</v>
      </c>
      <c r="N302" s="23" t="s">
        <v>32</v>
      </c>
      <c r="O302" s="8" t="s">
        <v>32</v>
      </c>
      <c r="P302" s="11" t="s">
        <v>32</v>
      </c>
      <c r="Q302" s="36">
        <v>25.113047395266605</v>
      </c>
      <c r="R302" s="10">
        <v>29.6416691316048</v>
      </c>
      <c r="S302" s="37">
        <v>24.8790436272748</v>
      </c>
      <c r="T302" s="69">
        <f t="shared" si="31"/>
        <v>48</v>
      </c>
      <c r="U302" s="23">
        <f t="shared" si="32"/>
        <v>0.10375577431695582</v>
      </c>
      <c r="V302" s="8">
        <f t="shared" si="33"/>
        <v>0.11028637592962894</v>
      </c>
      <c r="W302" s="11">
        <f t="shared" si="34"/>
        <v>0.10385741230818292</v>
      </c>
      <c r="X302" s="23">
        <f t="shared" si="38"/>
        <v>1.4498241741699447</v>
      </c>
      <c r="Y302" s="23">
        <f t="shared" si="38"/>
        <v>1.5410790865086346</v>
      </c>
      <c r="Z302" s="23">
        <f t="shared" si="38"/>
        <v>1.4512444056478089</v>
      </c>
    </row>
    <row r="303" spans="1:26" x14ac:dyDescent="0.3">
      <c r="A303" s="69" t="s">
        <v>543</v>
      </c>
      <c r="B303" s="23" t="s">
        <v>410</v>
      </c>
      <c r="C303" s="8"/>
      <c r="D303" s="11" t="s">
        <v>411</v>
      </c>
      <c r="E303" s="23" t="s">
        <v>120</v>
      </c>
      <c r="F303" s="8">
        <v>3</v>
      </c>
      <c r="G303" s="59" t="s">
        <v>593</v>
      </c>
      <c r="H303" s="36">
        <v>7.0387501269578934</v>
      </c>
      <c r="I303" s="10">
        <v>5.7749999687075615</v>
      </c>
      <c r="J303" s="37">
        <v>5.6887499056756496</v>
      </c>
      <c r="K303" s="36">
        <v>7.3225001171231003</v>
      </c>
      <c r="L303" s="10">
        <v>7.9775001406669599</v>
      </c>
      <c r="M303" s="37">
        <v>8.5037501081824001</v>
      </c>
      <c r="N303" s="23" t="s">
        <v>32</v>
      </c>
      <c r="O303" s="8" t="s">
        <v>32</v>
      </c>
      <c r="P303" s="11" t="s">
        <v>32</v>
      </c>
      <c r="Q303" s="36">
        <v>13.303106377811501</v>
      </c>
      <c r="R303" s="10">
        <v>13.4026495037148</v>
      </c>
      <c r="S303" s="37">
        <v>13.2210520648075</v>
      </c>
      <c r="T303" s="69">
        <f t="shared" si="31"/>
        <v>48</v>
      </c>
      <c r="U303" s="23">
        <f t="shared" si="32"/>
        <v>7.5697656566682828E-2</v>
      </c>
      <c r="V303" s="8">
        <f t="shared" si="33"/>
        <v>7.0002346533930768E-2</v>
      </c>
      <c r="W303" s="11">
        <f t="shared" si="34"/>
        <v>6.4780498292973027E-2</v>
      </c>
      <c r="X303" s="23">
        <f t="shared" si="38"/>
        <v>1.0577559961446492</v>
      </c>
      <c r="Y303" s="23">
        <f t="shared" si="38"/>
        <v>0.97817297323112684</v>
      </c>
      <c r="Z303" s="23">
        <f t="shared" si="38"/>
        <v>0.90520583609175209</v>
      </c>
    </row>
    <row r="304" spans="1:26" x14ac:dyDescent="0.3">
      <c r="A304" s="69" t="s">
        <v>543</v>
      </c>
      <c r="B304" s="23" t="s">
        <v>413</v>
      </c>
      <c r="C304" s="8"/>
      <c r="D304" s="11" t="s">
        <v>414</v>
      </c>
      <c r="E304" s="23" t="s">
        <v>120</v>
      </c>
      <c r="F304" s="8">
        <v>3</v>
      </c>
      <c r="G304" s="59" t="s">
        <v>594</v>
      </c>
      <c r="H304" s="36">
        <v>5.8087500743567944</v>
      </c>
      <c r="I304" s="10">
        <v>5.3362500853836536</v>
      </c>
      <c r="J304" s="37">
        <v>4.9762499518692493</v>
      </c>
      <c r="K304" s="36">
        <v>9.8224999383091927</v>
      </c>
      <c r="L304" s="10">
        <v>9.4975000247359276</v>
      </c>
      <c r="M304" s="37">
        <v>9.1737499460577965</v>
      </c>
      <c r="N304" s="23" t="s">
        <v>32</v>
      </c>
      <c r="O304" s="8" t="s">
        <v>32</v>
      </c>
      <c r="P304" s="11" t="s">
        <v>32</v>
      </c>
      <c r="Q304" s="36">
        <v>25.392363029609299</v>
      </c>
      <c r="R304" s="10">
        <v>27.892268962404</v>
      </c>
      <c r="S304" s="37">
        <v>22.886421610424399</v>
      </c>
      <c r="T304" s="69">
        <f t="shared" si="31"/>
        <v>48</v>
      </c>
      <c r="U304" s="23">
        <f t="shared" si="32"/>
        <v>0.10771342661019588</v>
      </c>
      <c r="V304" s="8">
        <f t="shared" si="33"/>
        <v>0.12236671444134202</v>
      </c>
      <c r="W304" s="11">
        <f t="shared" si="34"/>
        <v>0.10394886562655194</v>
      </c>
      <c r="X304" s="23">
        <f t="shared" si="38"/>
        <v>1.5051261562087492</v>
      </c>
      <c r="Y304" s="23">
        <f t="shared" si="38"/>
        <v>1.7098828655921434</v>
      </c>
      <c r="Z304" s="23">
        <f t="shared" si="38"/>
        <v>1.4525223223001815</v>
      </c>
    </row>
    <row r="305" spans="1:26" x14ac:dyDescent="0.3">
      <c r="A305" s="69" t="s">
        <v>543</v>
      </c>
      <c r="B305" s="23" t="s">
        <v>416</v>
      </c>
      <c r="C305" s="8"/>
      <c r="D305" s="11" t="s">
        <v>416</v>
      </c>
      <c r="E305" s="23" t="s">
        <v>120</v>
      </c>
      <c r="F305" s="8">
        <v>3</v>
      </c>
      <c r="G305" s="11" t="s">
        <v>595</v>
      </c>
      <c r="H305" s="36">
        <v>5.078749917447567</v>
      </c>
      <c r="I305" s="10">
        <v>4.8325000330805779</v>
      </c>
      <c r="J305" s="37">
        <v>4.9574999138712883</v>
      </c>
      <c r="K305" s="36">
        <v>9.5724998041987419</v>
      </c>
      <c r="L305" s="10">
        <v>9.4249999150633812</v>
      </c>
      <c r="M305" s="37">
        <v>8.5449998974800092</v>
      </c>
      <c r="N305" s="23" t="s">
        <v>32</v>
      </c>
      <c r="O305" s="8" t="s">
        <v>32</v>
      </c>
      <c r="P305" s="11" t="s">
        <v>32</v>
      </c>
      <c r="Q305" s="36">
        <v>28.2712194802269</v>
      </c>
      <c r="R305" s="10">
        <v>29.6169363962454</v>
      </c>
      <c r="S305" s="37">
        <v>24.422339086889146</v>
      </c>
      <c r="T305" s="69">
        <f t="shared" si="31"/>
        <v>48</v>
      </c>
      <c r="U305" s="23">
        <f t="shared" si="32"/>
        <v>0.12305745650954215</v>
      </c>
      <c r="V305" s="8">
        <f t="shared" si="33"/>
        <v>0.13093252282559054</v>
      </c>
      <c r="W305" s="11">
        <f t="shared" si="34"/>
        <v>0.11908688989613825</v>
      </c>
      <c r="X305" s="23">
        <f t="shared" si="38"/>
        <v>1.7195349023600772</v>
      </c>
      <c r="Y305" s="23">
        <f t="shared" si="38"/>
        <v>1.8295765997341438</v>
      </c>
      <c r="Z305" s="23">
        <f t="shared" si="38"/>
        <v>1.6640524629569498</v>
      </c>
    </row>
    <row r="306" spans="1:26" x14ac:dyDescent="0.3">
      <c r="A306" s="69" t="s">
        <v>543</v>
      </c>
      <c r="B306" s="23" t="s">
        <v>418</v>
      </c>
      <c r="C306" s="8"/>
      <c r="D306" s="11" t="s">
        <v>418</v>
      </c>
      <c r="E306" s="23" t="s">
        <v>120</v>
      </c>
      <c r="F306" s="8">
        <v>3</v>
      </c>
      <c r="G306" s="11" t="s">
        <v>596</v>
      </c>
      <c r="H306" s="36">
        <v>5.5637500248849392</v>
      </c>
      <c r="I306" s="10">
        <v>4.3387499637901783</v>
      </c>
      <c r="J306" s="37">
        <v>5.9899999760091305</v>
      </c>
      <c r="K306" s="36">
        <v>6.6062501892447401</v>
      </c>
      <c r="L306" s="10">
        <v>6.1637499853968603</v>
      </c>
      <c r="M306" s="37">
        <v>6.8262499794362999</v>
      </c>
      <c r="N306" s="23" t="s">
        <v>32</v>
      </c>
      <c r="O306" s="8" t="s">
        <v>32</v>
      </c>
      <c r="P306" s="11" t="s">
        <v>32</v>
      </c>
      <c r="Q306" s="36">
        <v>17.956885850410799</v>
      </c>
      <c r="R306" s="10">
        <v>17.814860692148901</v>
      </c>
      <c r="S306" s="37">
        <v>15.3346778815121</v>
      </c>
      <c r="T306" s="69">
        <f t="shared" si="31"/>
        <v>48</v>
      </c>
      <c r="U306" s="23">
        <f t="shared" si="32"/>
        <v>0.1132569242258729</v>
      </c>
      <c r="V306" s="8">
        <f t="shared" si="33"/>
        <v>0.12042763965629567</v>
      </c>
      <c r="W306" s="11">
        <f t="shared" si="34"/>
        <v>9.3601159297485012E-2</v>
      </c>
      <c r="X306" s="23">
        <f t="shared" si="38"/>
        <v>1.5825878387567496</v>
      </c>
      <c r="Y306" s="23">
        <f t="shared" si="38"/>
        <v>1.6827873374888545</v>
      </c>
      <c r="Z306" s="23">
        <f t="shared" si="38"/>
        <v>1.3079293598182768</v>
      </c>
    </row>
    <row r="307" spans="1:26" x14ac:dyDescent="0.3">
      <c r="A307" s="69" t="s">
        <v>543</v>
      </c>
      <c r="B307" s="23" t="s">
        <v>420</v>
      </c>
      <c r="C307" s="8"/>
      <c r="D307" s="11" t="s">
        <v>421</v>
      </c>
      <c r="E307" s="23" t="s">
        <v>120</v>
      </c>
      <c r="F307" s="8">
        <v>3</v>
      </c>
      <c r="G307" s="11" t="s">
        <v>597</v>
      </c>
      <c r="H307" s="36">
        <v>6.3462500460445881</v>
      </c>
      <c r="I307" s="10">
        <v>6.0950000770390034</v>
      </c>
      <c r="J307" s="37">
        <v>5.2787499502301216</v>
      </c>
      <c r="K307" s="36">
        <v>10.851250030100346</v>
      </c>
      <c r="L307" s="10">
        <v>10.29874999076128</v>
      </c>
      <c r="M307" s="37">
        <v>9.9750000983476639</v>
      </c>
      <c r="N307" s="23" t="s">
        <v>32</v>
      </c>
      <c r="O307" s="8" t="s">
        <v>32</v>
      </c>
      <c r="P307" s="11" t="s">
        <v>32</v>
      </c>
      <c r="Q307" s="36">
        <v>1.9111487414695001</v>
      </c>
      <c r="R307" s="10">
        <v>1.6130090718687</v>
      </c>
      <c r="S307" s="37">
        <v>2.27809748073375</v>
      </c>
      <c r="T307" s="69">
        <f t="shared" si="31"/>
        <v>48</v>
      </c>
      <c r="U307" s="23">
        <f t="shared" si="32"/>
        <v>7.3384354189922575E-3</v>
      </c>
      <c r="V307" s="8">
        <f t="shared" si="33"/>
        <v>6.5259095898194978E-3</v>
      </c>
      <c r="W307" s="11">
        <f t="shared" si="34"/>
        <v>9.5158623988013443E-3</v>
      </c>
      <c r="X307" s="23">
        <f t="shared" si="38"/>
        <v>0.10254312245348661</v>
      </c>
      <c r="Y307" s="23">
        <f t="shared" si="38"/>
        <v>9.1189348680149412E-2</v>
      </c>
      <c r="Z307" s="23">
        <f t="shared" si="38"/>
        <v>0.13296924855200454</v>
      </c>
    </row>
    <row r="308" spans="1:26" x14ac:dyDescent="0.3">
      <c r="A308" s="69" t="s">
        <v>543</v>
      </c>
      <c r="B308" s="23" t="s">
        <v>423</v>
      </c>
      <c r="C308" s="8"/>
      <c r="D308" s="23" t="s">
        <v>423</v>
      </c>
      <c r="E308" s="23" t="s">
        <v>120</v>
      </c>
      <c r="F308" s="8">
        <v>3</v>
      </c>
      <c r="G308" s="11" t="s">
        <v>598</v>
      </c>
      <c r="H308" s="36">
        <v>6.4574998803436756</v>
      </c>
      <c r="I308" s="10">
        <v>5.8750000782310963</v>
      </c>
      <c r="J308" s="37">
        <v>4.0900000371038914</v>
      </c>
      <c r="K308" s="36">
        <v>8.7874997183680499</v>
      </c>
      <c r="L308" s="10">
        <v>8.6050001457332996</v>
      </c>
      <c r="M308" s="37">
        <v>7.8962499275803504</v>
      </c>
      <c r="N308" s="23" t="s">
        <v>32</v>
      </c>
      <c r="O308" s="8" t="s">
        <v>32</v>
      </c>
      <c r="P308" s="11" t="s">
        <v>32</v>
      </c>
      <c r="Q308" s="36">
        <v>30.685048247401401</v>
      </c>
      <c r="R308" s="10">
        <v>29.246233411512598</v>
      </c>
      <c r="S308" s="37">
        <v>30.5087673669439</v>
      </c>
      <c r="T308" s="69">
        <f t="shared" si="31"/>
        <v>48</v>
      </c>
      <c r="U308" s="23">
        <f t="shared" si="32"/>
        <v>0.14549572892760218</v>
      </c>
      <c r="V308" s="8">
        <f t="shared" si="33"/>
        <v>0.14161453087449996</v>
      </c>
      <c r="W308" s="11">
        <f t="shared" si="34"/>
        <v>0.16098763994908946</v>
      </c>
      <c r="X308" s="23">
        <f t="shared" si="38"/>
        <v>2.0330745582729706</v>
      </c>
      <c r="Y308" s="23">
        <f t="shared" si="38"/>
        <v>1.97884090429879</v>
      </c>
      <c r="Z308" s="23">
        <f t="shared" si="38"/>
        <v>2.2495497111105274</v>
      </c>
    </row>
    <row r="309" spans="1:26" ht="15.6" x14ac:dyDescent="0.3">
      <c r="A309" s="69" t="s">
        <v>543</v>
      </c>
      <c r="B309" s="23" t="s">
        <v>425</v>
      </c>
      <c r="C309" s="8"/>
      <c r="D309" s="11" t="s">
        <v>426</v>
      </c>
      <c r="E309" s="23" t="s">
        <v>120</v>
      </c>
      <c r="F309" s="8">
        <v>3</v>
      </c>
      <c r="G309" s="60" t="s">
        <v>599</v>
      </c>
      <c r="H309" s="36">
        <v>5.963749997317791</v>
      </c>
      <c r="I309" s="10">
        <v>4.5525000430643559</v>
      </c>
      <c r="J309" s="37">
        <v>5.2762500941753387</v>
      </c>
      <c r="K309" s="36">
        <v>6.6200000494718498</v>
      </c>
      <c r="L309" s="10">
        <v>7.5350001230835897</v>
      </c>
      <c r="M309" s="37">
        <v>7.61000006645917</v>
      </c>
      <c r="N309" s="23" t="s">
        <v>32</v>
      </c>
      <c r="O309" s="8" t="s">
        <v>32</v>
      </c>
      <c r="P309" s="11" t="s">
        <v>32</v>
      </c>
      <c r="Q309" s="36">
        <v>24.520091893180801</v>
      </c>
      <c r="R309" s="10">
        <v>28.1474837303128</v>
      </c>
      <c r="S309" s="37">
        <v>25.7165737560242</v>
      </c>
      <c r="T309" s="69">
        <f t="shared" si="31"/>
        <v>48</v>
      </c>
      <c r="U309" s="23">
        <f t="shared" si="32"/>
        <v>0.15433088941301593</v>
      </c>
      <c r="V309" s="8">
        <f t="shared" si="33"/>
        <v>0.15564854717167681</v>
      </c>
      <c r="W309" s="11">
        <f t="shared" si="34"/>
        <v>0.14080471710160888</v>
      </c>
      <c r="X309" s="23">
        <f t="shared" si="38"/>
        <v>2.1565320654695657</v>
      </c>
      <c r="Y309" s="23">
        <f t="shared" si="38"/>
        <v>2.1749442655072553</v>
      </c>
      <c r="Z309" s="23">
        <f t="shared" si="38"/>
        <v>1.9675250272573195</v>
      </c>
    </row>
    <row r="310" spans="1:26" x14ac:dyDescent="0.3">
      <c r="A310" s="69" t="s">
        <v>543</v>
      </c>
      <c r="B310" s="23" t="s">
        <v>428</v>
      </c>
      <c r="C310" s="8"/>
      <c r="D310" s="11" t="s">
        <v>429</v>
      </c>
      <c r="E310" s="23" t="s">
        <v>120</v>
      </c>
      <c r="F310" s="8">
        <v>3</v>
      </c>
      <c r="G310" s="59" t="s">
        <v>600</v>
      </c>
      <c r="H310" s="36">
        <v>5.2750000730156898</v>
      </c>
      <c r="I310" s="10">
        <v>4.2612500488758087</v>
      </c>
      <c r="J310" s="37">
        <v>4.7499999403953552</v>
      </c>
      <c r="K310" s="36">
        <v>9.1812498867511749</v>
      </c>
      <c r="L310" s="10">
        <v>7.9187499359250069</v>
      </c>
      <c r="M310" s="37">
        <v>7.9087499529123306</v>
      </c>
      <c r="N310" s="23" t="s">
        <v>32</v>
      </c>
      <c r="O310" s="8" t="s">
        <v>32</v>
      </c>
      <c r="P310" s="11" t="s">
        <v>32</v>
      </c>
      <c r="Q310" s="36">
        <v>32.7160122608745</v>
      </c>
      <c r="R310" s="10">
        <v>34.326740362383099</v>
      </c>
      <c r="S310" s="37">
        <v>33.057291121259489</v>
      </c>
      <c r="T310" s="69">
        <f t="shared" si="31"/>
        <v>48</v>
      </c>
      <c r="U310" s="23">
        <f t="shared" si="32"/>
        <v>0.1484729415222136</v>
      </c>
      <c r="V310" s="8">
        <f t="shared" si="33"/>
        <v>0.18061952454690752</v>
      </c>
      <c r="W310" s="11">
        <f t="shared" si="34"/>
        <v>0.17415990368304254</v>
      </c>
      <c r="X310" s="23">
        <f t="shared" si="38"/>
        <v>2.0746764336358288</v>
      </c>
      <c r="Y310" s="23">
        <f t="shared" si="38"/>
        <v>2.5238744998927145</v>
      </c>
      <c r="Z310" s="23">
        <f t="shared" si="38"/>
        <v>2.4336114321641218</v>
      </c>
    </row>
    <row r="311" spans="1:26" x14ac:dyDescent="0.3">
      <c r="A311" s="69" t="s">
        <v>543</v>
      </c>
      <c r="B311" s="23" t="s">
        <v>431</v>
      </c>
      <c r="C311" s="8"/>
      <c r="D311" s="11" t="s">
        <v>431</v>
      </c>
      <c r="E311" s="23" t="s">
        <v>120</v>
      </c>
      <c r="F311" s="8">
        <v>3</v>
      </c>
      <c r="G311" s="11" t="s">
        <v>601</v>
      </c>
      <c r="H311" s="36">
        <v>5.2312499843537807</v>
      </c>
      <c r="I311" s="10">
        <v>5.3625000640749931</v>
      </c>
      <c r="J311" s="37">
        <v>5.2774999290704727</v>
      </c>
      <c r="K311" s="36">
        <v>6.0812500566244099</v>
      </c>
      <c r="L311" s="10">
        <v>6.6875000745057998</v>
      </c>
      <c r="M311" s="37">
        <v>6.8474998027086196</v>
      </c>
      <c r="N311" s="23" t="s">
        <v>32</v>
      </c>
      <c r="O311" s="8" t="s">
        <v>32</v>
      </c>
      <c r="P311" s="11" t="s">
        <v>32</v>
      </c>
      <c r="Q311" s="36">
        <v>23.305805419756499</v>
      </c>
      <c r="R311" s="10">
        <v>23.197857116501801</v>
      </c>
      <c r="S311" s="37">
        <v>19.905900790759599</v>
      </c>
      <c r="T311" s="69">
        <f t="shared" si="31"/>
        <v>48</v>
      </c>
      <c r="U311" s="23">
        <f t="shared" si="32"/>
        <v>0.15968348888488454</v>
      </c>
      <c r="V311" s="8">
        <f t="shared" si="33"/>
        <v>0.14453493369503564</v>
      </c>
      <c r="W311" s="11">
        <f t="shared" si="34"/>
        <v>0.12112633177736369</v>
      </c>
      <c r="X311" s="23">
        <f t="shared" si="38"/>
        <v>2.2313262459385772</v>
      </c>
      <c r="Y311" s="23">
        <f t="shared" si="38"/>
        <v>2.019648952192032</v>
      </c>
      <c r="Z311" s="23">
        <f t="shared" si="38"/>
        <v>1.6925504637735853</v>
      </c>
    </row>
    <row r="312" spans="1:26" x14ac:dyDescent="0.3">
      <c r="A312" s="69" t="s">
        <v>543</v>
      </c>
      <c r="B312" s="23" t="s">
        <v>433</v>
      </c>
      <c r="C312" s="8"/>
      <c r="D312" s="11" t="s">
        <v>434</v>
      </c>
      <c r="E312" s="23" t="s">
        <v>120</v>
      </c>
      <c r="F312" s="8">
        <v>3</v>
      </c>
      <c r="G312" s="11" t="s">
        <v>602</v>
      </c>
      <c r="H312" s="36">
        <v>3.7725000642240047</v>
      </c>
      <c r="I312" s="10">
        <v>4.0987499989569187</v>
      </c>
      <c r="J312" s="37">
        <v>3.8637500256299973</v>
      </c>
      <c r="K312" s="36">
        <v>7.1324998512864113</v>
      </c>
      <c r="L312" s="10">
        <v>7.1599999442696571</v>
      </c>
      <c r="M312" s="37">
        <v>7.7687498182058334</v>
      </c>
      <c r="N312" s="23" t="s">
        <v>32</v>
      </c>
      <c r="O312" s="8" t="s">
        <v>32</v>
      </c>
      <c r="P312" s="11" t="s">
        <v>32</v>
      </c>
      <c r="Q312" s="36">
        <v>32.336645355983102</v>
      </c>
      <c r="R312" s="10">
        <v>30.4531667102802</v>
      </c>
      <c r="S312" s="37">
        <v>32.4465944259438</v>
      </c>
      <c r="T312" s="69">
        <f t="shared" si="31"/>
        <v>48</v>
      </c>
      <c r="U312" s="23">
        <f t="shared" si="32"/>
        <v>0.18890434647859877</v>
      </c>
      <c r="V312" s="8">
        <f t="shared" si="33"/>
        <v>0.17721815029861776</v>
      </c>
      <c r="W312" s="11">
        <f t="shared" si="34"/>
        <v>0.17402303665978414</v>
      </c>
      <c r="X312" s="23">
        <f t="shared" si="38"/>
        <v>2.63964188917137</v>
      </c>
      <c r="Y312" s="23">
        <f t="shared" si="38"/>
        <v>2.4763456308438938</v>
      </c>
      <c r="Z312" s="23">
        <f t="shared" si="38"/>
        <v>2.4316989302308749</v>
      </c>
    </row>
    <row r="313" spans="1:26" x14ac:dyDescent="0.3">
      <c r="A313" s="69" t="s">
        <v>543</v>
      </c>
      <c r="B313" s="23" t="s">
        <v>86</v>
      </c>
      <c r="C313" s="8" t="s">
        <v>86</v>
      </c>
      <c r="D313" s="11" t="s">
        <v>86</v>
      </c>
      <c r="E313" s="23" t="s">
        <v>87</v>
      </c>
      <c r="F313" s="8">
        <v>3</v>
      </c>
      <c r="G313" s="11" t="s">
        <v>559</v>
      </c>
      <c r="H313" s="36">
        <v>5.5787499994039536</v>
      </c>
      <c r="I313" s="10">
        <v>4.6237500384449959</v>
      </c>
      <c r="J313" s="37">
        <v>5.8512499555945396</v>
      </c>
      <c r="K313" s="36">
        <v>10.432500019669533</v>
      </c>
      <c r="L313" s="10">
        <v>8.6825000122189522</v>
      </c>
      <c r="M313" s="37">
        <v>10.362499952316284</v>
      </c>
      <c r="N313" s="23" t="s">
        <v>32</v>
      </c>
      <c r="O313" s="8" t="s">
        <v>32</v>
      </c>
      <c r="P313" s="11" t="s">
        <v>32</v>
      </c>
      <c r="Q313" s="36">
        <v>28.021569982045673</v>
      </c>
      <c r="R313" s="10">
        <v>16.079103115196567</v>
      </c>
      <c r="S313" s="37">
        <v>33.061703099092284</v>
      </c>
      <c r="T313" s="69">
        <f t="shared" si="31"/>
        <v>48</v>
      </c>
      <c r="U313" s="23">
        <f t="shared" si="32"/>
        <v>0.11191616714279712</v>
      </c>
      <c r="V313" s="8">
        <f t="shared" si="33"/>
        <v>7.7162410464383893E-2</v>
      </c>
      <c r="W313" s="11">
        <f t="shared" si="34"/>
        <v>0.13293809107851973</v>
      </c>
      <c r="X313" s="23">
        <f t="shared" si="38"/>
        <v>1.563852861898549</v>
      </c>
      <c r="Y313" s="23">
        <f t="shared" si="38"/>
        <v>1.0782236339612137</v>
      </c>
      <c r="Z313" s="23">
        <f t="shared" si="38"/>
        <v>1.8576012697362387</v>
      </c>
    </row>
    <row r="314" spans="1:26" x14ac:dyDescent="0.3">
      <c r="A314" s="69" t="s">
        <v>543</v>
      </c>
      <c r="B314" s="23" t="s">
        <v>86</v>
      </c>
      <c r="C314" s="8" t="s">
        <v>86</v>
      </c>
      <c r="D314" s="11" t="s">
        <v>86</v>
      </c>
      <c r="E314" s="23" t="s">
        <v>87</v>
      </c>
      <c r="F314" s="8">
        <v>3</v>
      </c>
      <c r="G314" s="11" t="s">
        <v>559</v>
      </c>
      <c r="H314" s="36">
        <v>4.6912500634789467</v>
      </c>
      <c r="I314" s="10">
        <v>4.5912499539554119</v>
      </c>
      <c r="J314" s="37">
        <v>4.6487500891089439</v>
      </c>
      <c r="K314" s="36">
        <v>9.1737499460577965</v>
      </c>
      <c r="L314" s="10">
        <v>8.3162499591708183</v>
      </c>
      <c r="M314" s="37">
        <v>8.5349999368190765</v>
      </c>
      <c r="N314" s="23" t="s">
        <v>32</v>
      </c>
      <c r="O314" s="8" t="s">
        <v>32</v>
      </c>
      <c r="P314" s="11" t="s">
        <v>32</v>
      </c>
      <c r="Q314" s="36">
        <v>5.4673446402755976</v>
      </c>
      <c r="R314" s="10">
        <v>8.1534001810187178</v>
      </c>
      <c r="S314" s="37">
        <v>8.5390654101307142</v>
      </c>
      <c r="T314" s="69">
        <f t="shared" ref="T314:T371" si="39">IF(N314="NA",48,72)</f>
        <v>48</v>
      </c>
      <c r="U314" s="23">
        <f t="shared" ref="U314:U371" si="40">Q314/K314/(T314-24)</f>
        <v>2.483237803708005E-2</v>
      </c>
      <c r="V314" s="8">
        <f t="shared" ref="V314:V371" si="41">R314/L314/(T314-24)</f>
        <v>4.0850745132764051E-2</v>
      </c>
      <c r="W314" s="11">
        <f t="shared" ref="W314:W371" si="42">S314/M314/(T314-24)</f>
        <v>4.1686513734337689E-2</v>
      </c>
      <c r="X314" s="23">
        <f t="shared" si="38"/>
        <v>0.34699352606924638</v>
      </c>
      <c r="Y314" s="23">
        <f t="shared" si="38"/>
        <v>0.57082507664017035</v>
      </c>
      <c r="Z314" s="23">
        <f t="shared" si="38"/>
        <v>0.58250363169458197</v>
      </c>
    </row>
    <row r="315" spans="1:26" x14ac:dyDescent="0.3">
      <c r="A315" s="69" t="s">
        <v>543</v>
      </c>
      <c r="B315" s="23" t="s">
        <v>117</v>
      </c>
      <c r="C315" s="8" t="s">
        <v>118</v>
      </c>
      <c r="D315" s="65" t="s">
        <v>119</v>
      </c>
      <c r="E315" s="23" t="s">
        <v>120</v>
      </c>
      <c r="F315" s="8">
        <v>5</v>
      </c>
      <c r="G315" s="61" t="s">
        <v>603</v>
      </c>
      <c r="H315" s="23">
        <v>5.6824999861419201</v>
      </c>
      <c r="I315" s="8">
        <v>5.6687500327825546</v>
      </c>
      <c r="J315" s="11">
        <v>5.5699999444186687</v>
      </c>
      <c r="K315" s="23">
        <v>12.527499720454216</v>
      </c>
      <c r="L315" s="8">
        <v>12.231250107288361</v>
      </c>
      <c r="M315" s="11">
        <v>12.083750031888485</v>
      </c>
      <c r="N315" s="23">
        <v>14.787500351667404</v>
      </c>
      <c r="O315" s="8">
        <v>14.629999548196793</v>
      </c>
      <c r="P315" s="11">
        <v>14.24499973654747</v>
      </c>
      <c r="Q315" s="23">
        <v>20.671094674556219</v>
      </c>
      <c r="R315" s="8">
        <v>16.89286982248521</v>
      </c>
      <c r="S315" s="11">
        <v>18.745160349854228</v>
      </c>
      <c r="T315" s="69">
        <f t="shared" si="39"/>
        <v>72</v>
      </c>
      <c r="U315" s="23">
        <f t="shared" si="40"/>
        <v>3.4376197591669717E-2</v>
      </c>
      <c r="V315" s="8">
        <f t="shared" si="41"/>
        <v>2.8773411129801921E-2</v>
      </c>
      <c r="W315" s="11">
        <f t="shared" si="42"/>
        <v>3.2318127479029297E-2</v>
      </c>
      <c r="X315" s="23">
        <f>U315/AVERAGE($U$359:$W$359)</f>
        <v>1.251201264835011</v>
      </c>
      <c r="Y315" s="23">
        <f t="shared" ref="Y315:Z330" si="43">V315/AVERAGE($U$359:$W$359)</f>
        <v>1.0472748855722789</v>
      </c>
      <c r="Z315" s="23">
        <f t="shared" si="43"/>
        <v>1.1762930402942366</v>
      </c>
    </row>
    <row r="316" spans="1:26" x14ac:dyDescent="0.3">
      <c r="A316" s="69" t="s">
        <v>543</v>
      </c>
      <c r="B316" s="23" t="s">
        <v>122</v>
      </c>
      <c r="C316" s="8" t="s">
        <v>123</v>
      </c>
      <c r="D316" s="11" t="s">
        <v>122</v>
      </c>
      <c r="E316" s="23" t="s">
        <v>120</v>
      </c>
      <c r="F316" s="8">
        <v>5</v>
      </c>
      <c r="G316" s="11" t="s">
        <v>604</v>
      </c>
      <c r="H316" s="23">
        <v>6.536250002682209</v>
      </c>
      <c r="I316" s="8">
        <v>6.4062499441206455</v>
      </c>
      <c r="J316" s="11">
        <v>6.1487499624490738</v>
      </c>
      <c r="K316" s="23">
        <v>12.231250293552876</v>
      </c>
      <c r="L316" s="8">
        <v>12.175000086426735</v>
      </c>
      <c r="M316" s="11">
        <v>12.537500075995922</v>
      </c>
      <c r="N316" s="23">
        <v>14.528749883174896</v>
      </c>
      <c r="O316" s="8">
        <v>15.068750083446503</v>
      </c>
      <c r="P316" s="11">
        <v>14.057499915361404</v>
      </c>
      <c r="Q316" s="23">
        <v>9.8731360946745568</v>
      </c>
      <c r="R316" s="8">
        <v>8.0510355029585803</v>
      </c>
      <c r="S316" s="11">
        <v>7.2322448979591849</v>
      </c>
      <c r="T316" s="69">
        <f t="shared" si="39"/>
        <v>72</v>
      </c>
      <c r="U316" s="23">
        <f t="shared" si="40"/>
        <v>1.6816787357719257E-2</v>
      </c>
      <c r="V316" s="8">
        <f t="shared" si="41"/>
        <v>1.377658358283137E-2</v>
      </c>
      <c r="W316" s="11">
        <f t="shared" si="42"/>
        <v>1.2017688358459637E-2</v>
      </c>
      <c r="X316" s="23">
        <f t="shared" ref="X316:Z359" si="44">U316/AVERAGE($U$359:$W$359)</f>
        <v>0.61208589333738894</v>
      </c>
      <c r="Y316" s="23">
        <f t="shared" si="43"/>
        <v>0.50143064130283332</v>
      </c>
      <c r="Z316" s="23">
        <f t="shared" si="43"/>
        <v>0.43741157917190493</v>
      </c>
    </row>
    <row r="317" spans="1:26" x14ac:dyDescent="0.3">
      <c r="A317" s="69" t="s">
        <v>543</v>
      </c>
      <c r="B317" s="23" t="s">
        <v>125</v>
      </c>
      <c r="C317" s="8" t="s">
        <v>126</v>
      </c>
      <c r="D317" s="11" t="s">
        <v>125</v>
      </c>
      <c r="E317" s="23" t="s">
        <v>120</v>
      </c>
      <c r="F317" s="8">
        <v>5</v>
      </c>
      <c r="G317" s="61" t="s">
        <v>605</v>
      </c>
      <c r="H317" s="23">
        <v>6.3974999822676182</v>
      </c>
      <c r="I317" s="8">
        <v>6.3662501983344555</v>
      </c>
      <c r="J317" s="11">
        <v>6.4112499356269836</v>
      </c>
      <c r="K317" s="23">
        <v>13.133750110864639</v>
      </c>
      <c r="L317" s="8">
        <v>12.491250038146973</v>
      </c>
      <c r="M317" s="11">
        <v>12.991249933838844</v>
      </c>
      <c r="N317" s="23">
        <v>15.461250022053719</v>
      </c>
      <c r="O317" s="8">
        <v>15.912500396370888</v>
      </c>
      <c r="P317" s="11">
        <v>15.4424998909235</v>
      </c>
      <c r="Q317" s="23">
        <v>20.299112426035503</v>
      </c>
      <c r="R317" s="8">
        <v>18.234142011834319</v>
      </c>
      <c r="S317" s="11">
        <v>17.784344023323619</v>
      </c>
      <c r="T317" s="69">
        <f t="shared" si="39"/>
        <v>72</v>
      </c>
      <c r="U317" s="23">
        <f t="shared" si="40"/>
        <v>3.2199346871429509E-2</v>
      </c>
      <c r="V317" s="8">
        <f t="shared" si="41"/>
        <v>3.0411524660844513E-2</v>
      </c>
      <c r="W317" s="11">
        <f t="shared" si="42"/>
        <v>2.8519747448434513E-2</v>
      </c>
      <c r="X317" s="23">
        <f t="shared" si="44"/>
        <v>1.1719697451982503</v>
      </c>
      <c r="Y317" s="23">
        <f t="shared" si="43"/>
        <v>1.1068978184611831</v>
      </c>
      <c r="Z317" s="23">
        <f t="shared" si="43"/>
        <v>1.0380422088597585</v>
      </c>
    </row>
    <row r="318" spans="1:26" x14ac:dyDescent="0.3">
      <c r="A318" s="69" t="s">
        <v>543</v>
      </c>
      <c r="B318" s="23" t="s">
        <v>128</v>
      </c>
      <c r="C318" s="8" t="s">
        <v>129</v>
      </c>
      <c r="D318" s="11" t="s">
        <v>128</v>
      </c>
      <c r="E318" s="23" t="s">
        <v>120</v>
      </c>
      <c r="F318" s="8">
        <v>5</v>
      </c>
      <c r="G318" s="11" t="s">
        <v>606</v>
      </c>
      <c r="H318" s="23">
        <v>6.172499991953373</v>
      </c>
      <c r="I318" s="8">
        <v>6.034999992698431</v>
      </c>
      <c r="J318" s="11">
        <v>5.8787500485777855</v>
      </c>
      <c r="K318" s="23">
        <v>12.723749689757824</v>
      </c>
      <c r="L318" s="8">
        <v>12.283749878406525</v>
      </c>
      <c r="M318" s="11">
        <v>12.236250005662441</v>
      </c>
      <c r="N318" s="23">
        <v>14.73499983549118</v>
      </c>
      <c r="O318" s="8">
        <v>15.534999594092369</v>
      </c>
      <c r="P318" s="11">
        <v>14.902500063180923</v>
      </c>
      <c r="Q318" s="23">
        <v>18.497928994082841</v>
      </c>
      <c r="R318" s="8">
        <v>16.712337278106506</v>
      </c>
      <c r="S318" s="11">
        <v>14.52253644314869</v>
      </c>
      <c r="T318" s="69">
        <f t="shared" si="39"/>
        <v>72</v>
      </c>
      <c r="U318" s="23">
        <f t="shared" si="40"/>
        <v>3.028773200562657E-2</v>
      </c>
      <c r="V318" s="8">
        <f t="shared" si="41"/>
        <v>2.8344251286485118E-2</v>
      </c>
      <c r="W318" s="11">
        <f t="shared" si="42"/>
        <v>2.4725944829959223E-2</v>
      </c>
      <c r="X318" s="23">
        <f t="shared" si="44"/>
        <v>1.1023920982932403</v>
      </c>
      <c r="Y318" s="23">
        <f t="shared" si="43"/>
        <v>1.0316546199119343</v>
      </c>
      <c r="Z318" s="23">
        <f t="shared" si="43"/>
        <v>0.89995798293242846</v>
      </c>
    </row>
    <row r="319" spans="1:26" x14ac:dyDescent="0.3">
      <c r="A319" s="69" t="s">
        <v>543</v>
      </c>
      <c r="B319" s="23" t="s">
        <v>131</v>
      </c>
      <c r="C319" s="8" t="s">
        <v>132</v>
      </c>
      <c r="D319" s="11" t="s">
        <v>131</v>
      </c>
      <c r="E319" s="23" t="s">
        <v>120</v>
      </c>
      <c r="F319" s="8">
        <v>5</v>
      </c>
      <c r="G319" s="61" t="s">
        <v>607</v>
      </c>
      <c r="H319" s="23">
        <v>4.3974999338388443</v>
      </c>
      <c r="I319" s="8">
        <v>4.1637500748038292</v>
      </c>
      <c r="J319" s="11">
        <v>4.1800000704824924</v>
      </c>
      <c r="K319" s="23">
        <v>9.218749962747097</v>
      </c>
      <c r="L319" s="8">
        <v>8.9387500658631325</v>
      </c>
      <c r="M319" s="11">
        <v>8.750000037252903</v>
      </c>
      <c r="N319" s="23">
        <v>12.328749895095825</v>
      </c>
      <c r="O319" s="8">
        <v>11.723750084638596</v>
      </c>
      <c r="P319" s="11">
        <v>11.466250196099281</v>
      </c>
      <c r="Q319" s="23">
        <v>10.508757396449704</v>
      </c>
      <c r="R319" s="8">
        <v>8.9497928994082834</v>
      </c>
      <c r="S319" s="11">
        <v>5.4560641399416916</v>
      </c>
      <c r="T319" s="69">
        <f t="shared" si="39"/>
        <v>72</v>
      </c>
      <c r="U319" s="23">
        <f t="shared" si="40"/>
        <v>2.3748604381729984E-2</v>
      </c>
      <c r="V319" s="8">
        <f t="shared" si="41"/>
        <v>2.0859070604259972E-2</v>
      </c>
      <c r="W319" s="11">
        <f t="shared" si="42"/>
        <v>1.2990628849315802E-2</v>
      </c>
      <c r="X319" s="23">
        <f t="shared" si="44"/>
        <v>0.86438541555530901</v>
      </c>
      <c r="Y319" s="23">
        <f t="shared" si="43"/>
        <v>0.75921414675767818</v>
      </c>
      <c r="Z319" s="23">
        <f t="shared" si="43"/>
        <v>0.47282399991803847</v>
      </c>
    </row>
    <row r="320" spans="1:26" x14ac:dyDescent="0.3">
      <c r="A320" s="69" t="s">
        <v>543</v>
      </c>
      <c r="B320" s="23" t="s">
        <v>134</v>
      </c>
      <c r="C320" s="8" t="s">
        <v>135</v>
      </c>
      <c r="D320" s="11" t="s">
        <v>134</v>
      </c>
      <c r="E320" s="23" t="s">
        <v>120</v>
      </c>
      <c r="F320" s="8">
        <v>5</v>
      </c>
      <c r="G320" s="11" t="s">
        <v>608</v>
      </c>
      <c r="H320" s="23">
        <v>6.1762499623000622</v>
      </c>
      <c r="I320" s="8">
        <v>6.3087500631809235</v>
      </c>
      <c r="J320" s="11">
        <v>6.2200000509619713</v>
      </c>
      <c r="K320" s="23">
        <v>12.332499958574772</v>
      </c>
      <c r="L320" s="8">
        <v>12.096249684691429</v>
      </c>
      <c r="M320" s="11">
        <v>11.711250059306622</v>
      </c>
      <c r="N320" s="23">
        <v>14.063749834895134</v>
      </c>
      <c r="O320" s="8">
        <v>14.91749994456768</v>
      </c>
      <c r="P320" s="11">
        <v>14.122500270605087</v>
      </c>
      <c r="Q320" s="23">
        <v>6.3357692307692313</v>
      </c>
      <c r="R320" s="8">
        <v>7.838461538461539</v>
      </c>
      <c r="S320" s="11">
        <v>4.6923615160349854</v>
      </c>
      <c r="T320" s="69">
        <f t="shared" si="39"/>
        <v>72</v>
      </c>
      <c r="U320" s="23">
        <f t="shared" si="40"/>
        <v>1.0703036103877399E-2</v>
      </c>
      <c r="V320" s="8">
        <f t="shared" si="41"/>
        <v>1.350015800830816E-2</v>
      </c>
      <c r="W320" s="11">
        <f t="shared" si="42"/>
        <v>8.3473182699550386E-3</v>
      </c>
      <c r="X320" s="23">
        <f t="shared" si="44"/>
        <v>0.38956176799470543</v>
      </c>
      <c r="Y320" s="23">
        <f t="shared" si="43"/>
        <v>0.49136949281327497</v>
      </c>
      <c r="Z320" s="23">
        <f t="shared" si="43"/>
        <v>0.30381996582074122</v>
      </c>
    </row>
    <row r="321" spans="1:26" x14ac:dyDescent="0.3">
      <c r="A321" s="69" t="s">
        <v>543</v>
      </c>
      <c r="B321" s="23" t="s">
        <v>137</v>
      </c>
      <c r="C321" s="8" t="s">
        <v>138</v>
      </c>
      <c r="D321" s="11" t="s">
        <v>137</v>
      </c>
      <c r="E321" s="23" t="s">
        <v>120</v>
      </c>
      <c r="F321" s="8">
        <v>5</v>
      </c>
      <c r="G321" s="61" t="s">
        <v>609</v>
      </c>
      <c r="H321" s="23">
        <v>6.0675001703202724</v>
      </c>
      <c r="I321" s="8">
        <v>5.5575000122189522</v>
      </c>
      <c r="J321" s="11">
        <v>5.1924998871982098</v>
      </c>
      <c r="K321" s="23">
        <v>12.780000083148479</v>
      </c>
      <c r="L321" s="8">
        <v>11.372499912977219</v>
      </c>
      <c r="M321" s="11">
        <v>10.673750005662441</v>
      </c>
      <c r="N321" s="23">
        <v>13.322500139474869</v>
      </c>
      <c r="O321" s="8">
        <v>13.066249899566174</v>
      </c>
      <c r="P321" s="11">
        <v>12.727500312030315</v>
      </c>
      <c r="Q321" s="23">
        <v>6.1766180758017493</v>
      </c>
      <c r="R321" s="8">
        <v>4.4165597667638483</v>
      </c>
      <c r="S321" s="11">
        <v>4.1018075801749276</v>
      </c>
      <c r="T321" s="69">
        <f t="shared" si="39"/>
        <v>72</v>
      </c>
      <c r="U321" s="23">
        <f t="shared" si="40"/>
        <v>1.006882178471538E-2</v>
      </c>
      <c r="V321" s="8">
        <f t="shared" si="41"/>
        <v>8.0907155429023291E-3</v>
      </c>
      <c r="W321" s="11">
        <f t="shared" si="42"/>
        <v>8.006026423857034E-3</v>
      </c>
      <c r="X321" s="23">
        <f t="shared" si="44"/>
        <v>0.36647807014837103</v>
      </c>
      <c r="Y321" s="23">
        <f t="shared" si="43"/>
        <v>0.29448031573895717</v>
      </c>
      <c r="Z321" s="23">
        <f t="shared" si="43"/>
        <v>0.29139785926352335</v>
      </c>
    </row>
    <row r="322" spans="1:26" x14ac:dyDescent="0.3">
      <c r="A322" s="69" t="s">
        <v>543</v>
      </c>
      <c r="B322" s="23" t="s">
        <v>140</v>
      </c>
      <c r="C322" s="8" t="s">
        <v>141</v>
      </c>
      <c r="D322" s="11" t="s">
        <v>140</v>
      </c>
      <c r="E322" s="23" t="s">
        <v>120</v>
      </c>
      <c r="F322" s="8">
        <v>5</v>
      </c>
      <c r="G322" s="11" t="s">
        <v>610</v>
      </c>
      <c r="H322" s="23">
        <v>2.5550000369548798</v>
      </c>
      <c r="I322" s="8">
        <v>2.5049999821931124</v>
      </c>
      <c r="J322" s="11">
        <v>2.5224999990314245</v>
      </c>
      <c r="K322" s="23">
        <v>2.8112499974668026</v>
      </c>
      <c r="L322" s="8">
        <v>2.8412500396370888</v>
      </c>
      <c r="M322" s="11">
        <v>2.8037500102072954</v>
      </c>
      <c r="N322" s="23">
        <v>6.0762500129640102</v>
      </c>
      <c r="O322" s="8">
        <v>6.1187500804662696</v>
      </c>
      <c r="P322" s="11">
        <v>6.4237499348819203</v>
      </c>
      <c r="Q322" s="23">
        <v>2.1782507288629738</v>
      </c>
      <c r="R322" s="8">
        <v>0</v>
      </c>
      <c r="S322" s="11">
        <v>0</v>
      </c>
      <c r="T322" s="69">
        <f t="shared" si="39"/>
        <v>72</v>
      </c>
      <c r="U322" s="23">
        <f t="shared" si="40"/>
        <v>1.6142364983146435E-2</v>
      </c>
      <c r="V322" s="8">
        <f t="shared" si="41"/>
        <v>0</v>
      </c>
      <c r="W322" s="11">
        <f t="shared" si="42"/>
        <v>0</v>
      </c>
      <c r="X322" s="23">
        <f t="shared" si="44"/>
        <v>0.58753873026479164</v>
      </c>
      <c r="Y322" s="23">
        <f t="shared" si="43"/>
        <v>0</v>
      </c>
      <c r="Z322" s="23">
        <f t="shared" si="43"/>
        <v>0</v>
      </c>
    </row>
    <row r="323" spans="1:26" x14ac:dyDescent="0.3">
      <c r="A323" s="69" t="s">
        <v>543</v>
      </c>
      <c r="B323" s="23" t="s">
        <v>143</v>
      </c>
      <c r="C323" s="8" t="s">
        <v>144</v>
      </c>
      <c r="D323" s="11" t="s">
        <v>143</v>
      </c>
      <c r="E323" s="23" t="s">
        <v>120</v>
      </c>
      <c r="F323" s="8">
        <v>5</v>
      </c>
      <c r="G323" s="61" t="s">
        <v>611</v>
      </c>
      <c r="H323" s="23">
        <v>2.4162500165402889</v>
      </c>
      <c r="I323" s="8">
        <v>2.356250025331974</v>
      </c>
      <c r="J323" s="11">
        <v>2.3200000170618296</v>
      </c>
      <c r="K323" s="23">
        <v>2.5337500497698784</v>
      </c>
      <c r="L323" s="8">
        <v>2.5125000160187483</v>
      </c>
      <c r="M323" s="11">
        <v>2.4724999908357859</v>
      </c>
      <c r="N323" s="23">
        <v>2.9550000093877316</v>
      </c>
      <c r="O323" s="8">
        <v>3.7062499672174454</v>
      </c>
      <c r="P323" s="11">
        <v>7.7562497928738594</v>
      </c>
      <c r="Q323" s="23">
        <v>1.0763265306122449</v>
      </c>
      <c r="R323" s="8">
        <v>0</v>
      </c>
      <c r="S323" s="11">
        <v>0</v>
      </c>
      <c r="T323" s="69">
        <f t="shared" si="39"/>
        <v>72</v>
      </c>
      <c r="U323" s="23">
        <f t="shared" si="40"/>
        <v>8.8499137433827226E-3</v>
      </c>
      <c r="V323" s="8">
        <f t="shared" si="41"/>
        <v>0</v>
      </c>
      <c r="W323" s="11">
        <f t="shared" si="42"/>
        <v>0</v>
      </c>
      <c r="X323" s="23">
        <f t="shared" si="44"/>
        <v>0.32211309118389825</v>
      </c>
      <c r="Y323" s="23">
        <f t="shared" si="43"/>
        <v>0</v>
      </c>
      <c r="Z323" s="23">
        <f t="shared" si="43"/>
        <v>0</v>
      </c>
    </row>
    <row r="324" spans="1:26" x14ac:dyDescent="0.3">
      <c r="A324" s="69" t="s">
        <v>543</v>
      </c>
      <c r="B324" s="23" t="s">
        <v>64</v>
      </c>
      <c r="C324" s="8" t="s">
        <v>65</v>
      </c>
      <c r="D324" s="11" t="s">
        <v>64</v>
      </c>
      <c r="E324" s="23" t="s">
        <v>120</v>
      </c>
      <c r="F324" s="8">
        <v>5</v>
      </c>
      <c r="G324" s="11" t="s">
        <v>612</v>
      </c>
      <c r="H324" s="23">
        <v>5.5187500081956387</v>
      </c>
      <c r="I324" s="8">
        <v>5.5387499742209911</v>
      </c>
      <c r="J324" s="11">
        <v>5.9737498871982098</v>
      </c>
      <c r="K324" s="23">
        <v>11.413749866187572</v>
      </c>
      <c r="L324" s="8">
        <v>11.698749847710133</v>
      </c>
      <c r="M324" s="11">
        <v>11.646249890327454</v>
      </c>
      <c r="N324" s="23">
        <v>13.963750377297401</v>
      </c>
      <c r="O324" s="8">
        <v>14.707499742507935</v>
      </c>
      <c r="P324" s="11">
        <v>13.765000179409981</v>
      </c>
      <c r="Q324" s="23">
        <v>8.7671720116618079</v>
      </c>
      <c r="R324" s="8">
        <v>7.3974927113702629</v>
      </c>
      <c r="S324" s="11">
        <v>5.5908746355685137</v>
      </c>
      <c r="T324" s="69">
        <f t="shared" si="39"/>
        <v>72</v>
      </c>
      <c r="U324" s="23">
        <f t="shared" si="40"/>
        <v>1.6002577509667264E-2</v>
      </c>
      <c r="V324" s="8">
        <f t="shared" si="41"/>
        <v>1.3173581236720454E-2</v>
      </c>
      <c r="W324" s="11">
        <f t="shared" si="42"/>
        <v>1.000120691248558E-2</v>
      </c>
      <c r="X324" s="23">
        <f t="shared" si="44"/>
        <v>0.58245084167098116</v>
      </c>
      <c r="Y324" s="23">
        <f t="shared" si="43"/>
        <v>0.47948297544652324</v>
      </c>
      <c r="Z324" s="23">
        <f t="shared" si="43"/>
        <v>0.36401707039905368</v>
      </c>
    </row>
    <row r="325" spans="1:26" x14ac:dyDescent="0.3">
      <c r="A325" s="69" t="s">
        <v>543</v>
      </c>
      <c r="B325" s="23" t="s">
        <v>56</v>
      </c>
      <c r="C325" s="8" t="s">
        <v>57</v>
      </c>
      <c r="D325" s="11" t="s">
        <v>58</v>
      </c>
      <c r="E325" s="23" t="s">
        <v>120</v>
      </c>
      <c r="F325" s="8">
        <v>5</v>
      </c>
      <c r="G325" s="61" t="s">
        <v>613</v>
      </c>
      <c r="H325" s="23">
        <v>6.2000001780688763</v>
      </c>
      <c r="I325" s="8">
        <v>6.3625000417232513</v>
      </c>
      <c r="J325" s="11">
        <v>6.2074999324977398</v>
      </c>
      <c r="K325" s="23">
        <v>12.157499976456165</v>
      </c>
      <c r="L325" s="8">
        <v>12.736249901354313</v>
      </c>
      <c r="M325" s="11">
        <v>12.178749963641167</v>
      </c>
      <c r="N325" s="23">
        <v>14.045000076293945</v>
      </c>
      <c r="O325" s="8">
        <v>15.313750132918358</v>
      </c>
      <c r="P325" s="11">
        <v>14.05625008046627</v>
      </c>
      <c r="Q325" s="23">
        <v>6.1430320699708449</v>
      </c>
      <c r="R325" s="8">
        <v>5.6322740524781345</v>
      </c>
      <c r="S325" s="11">
        <v>4.1339358600583092</v>
      </c>
      <c r="T325" s="69">
        <f t="shared" si="39"/>
        <v>72</v>
      </c>
      <c r="U325" s="23">
        <f t="shared" si="40"/>
        <v>1.0526821718190501E-2</v>
      </c>
      <c r="V325" s="8">
        <f t="shared" si="41"/>
        <v>9.2129978344319286E-3</v>
      </c>
      <c r="W325" s="11">
        <f t="shared" si="42"/>
        <v>7.0716341174858781E-3</v>
      </c>
      <c r="X325" s="23">
        <f t="shared" si="44"/>
        <v>0.38314803763183952</v>
      </c>
      <c r="Y325" s="23">
        <f t="shared" si="43"/>
        <v>0.33532837692778528</v>
      </c>
      <c r="Z325" s="23">
        <f t="shared" si="43"/>
        <v>0.25738848890003085</v>
      </c>
    </row>
    <row r="326" spans="1:26" x14ac:dyDescent="0.3">
      <c r="A326" s="69" t="s">
        <v>543</v>
      </c>
      <c r="B326" s="23" t="s">
        <v>148</v>
      </c>
      <c r="C326" s="8" t="s">
        <v>149</v>
      </c>
      <c r="D326" s="11" t="s">
        <v>150</v>
      </c>
      <c r="E326" s="23" t="s">
        <v>120</v>
      </c>
      <c r="F326" s="8">
        <v>5</v>
      </c>
      <c r="G326" s="11" t="s">
        <v>614</v>
      </c>
      <c r="H326" s="23">
        <v>6.0812500305473804</v>
      </c>
      <c r="I326" s="8">
        <v>6.2487500719726086</v>
      </c>
      <c r="J326" s="11">
        <v>6.3237499445676804</v>
      </c>
      <c r="K326" s="23">
        <v>12.962500192224979</v>
      </c>
      <c r="L326" s="8">
        <v>12.906249985098839</v>
      </c>
      <c r="M326" s="11">
        <v>12.670000270009041</v>
      </c>
      <c r="N326" s="23">
        <v>15.566250309348106</v>
      </c>
      <c r="O326" s="8">
        <v>15.821250155568123</v>
      </c>
      <c r="P326" s="11">
        <v>15.68249985575676</v>
      </c>
      <c r="Q326" s="23">
        <v>9.3546647230320712</v>
      </c>
      <c r="R326" s="8">
        <v>10.37851311953353</v>
      </c>
      <c r="S326" s="11">
        <v>8.0684548104956288</v>
      </c>
      <c r="T326" s="69">
        <f t="shared" si="39"/>
        <v>72</v>
      </c>
      <c r="U326" s="23">
        <f t="shared" si="40"/>
        <v>1.5034819325472218E-2</v>
      </c>
      <c r="V326" s="8">
        <f t="shared" si="41"/>
        <v>1.6753047831341798E-2</v>
      </c>
      <c r="W326" s="11">
        <f t="shared" si="42"/>
        <v>1.3266993288854313E-2</v>
      </c>
      <c r="X326" s="23">
        <f t="shared" si="44"/>
        <v>0.54722704296868674</v>
      </c>
      <c r="Y326" s="23">
        <f t="shared" si="43"/>
        <v>0.60976594576870302</v>
      </c>
      <c r="Z326" s="23">
        <f t="shared" si="43"/>
        <v>0.48288292325834992</v>
      </c>
    </row>
    <row r="327" spans="1:26" x14ac:dyDescent="0.3">
      <c r="A327" s="69" t="s">
        <v>543</v>
      </c>
      <c r="B327" s="23" t="s">
        <v>152</v>
      </c>
      <c r="C327" s="8" t="s">
        <v>153</v>
      </c>
      <c r="D327" s="11" t="s">
        <v>152</v>
      </c>
      <c r="E327" s="23" t="s">
        <v>120</v>
      </c>
      <c r="F327" s="8">
        <v>5</v>
      </c>
      <c r="G327" s="61" t="s">
        <v>615</v>
      </c>
      <c r="H327" s="23">
        <v>6.3775000162422657</v>
      </c>
      <c r="I327" s="8">
        <v>6.2662499956786633</v>
      </c>
      <c r="J327" s="11">
        <v>6.1787499114871025</v>
      </c>
      <c r="K327" s="23">
        <v>12.877500057220459</v>
      </c>
      <c r="L327" s="8">
        <v>11.999999918043613</v>
      </c>
      <c r="M327" s="11">
        <v>12.521250173449516</v>
      </c>
      <c r="N327" s="23">
        <v>17.082499757409</v>
      </c>
      <c r="O327" s="8">
        <v>16.767499804496701</v>
      </c>
      <c r="P327" s="11">
        <v>17.5537503063678</v>
      </c>
      <c r="Q327" s="23">
        <v>6.0287755102040821</v>
      </c>
      <c r="R327" s="8">
        <v>6.7014285714285728</v>
      </c>
      <c r="S327" s="11">
        <v>5.5473177842565606</v>
      </c>
      <c r="T327" s="69">
        <f t="shared" si="39"/>
        <v>72</v>
      </c>
      <c r="U327" s="23">
        <f t="shared" si="40"/>
        <v>9.7534062696815367E-3</v>
      </c>
      <c r="V327" s="8">
        <f t="shared" si="41"/>
        <v>1.1634424682634223E-2</v>
      </c>
      <c r="W327" s="11">
        <f t="shared" si="42"/>
        <v>9.2298387864178048E-3</v>
      </c>
      <c r="X327" s="23">
        <f t="shared" si="44"/>
        <v>0.35499779254330616</v>
      </c>
      <c r="Y327" s="23">
        <f t="shared" si="43"/>
        <v>0.42346181074044004</v>
      </c>
      <c r="Z327" s="23">
        <f t="shared" si="43"/>
        <v>0.33594134234868628</v>
      </c>
    </row>
    <row r="328" spans="1:26" x14ac:dyDescent="0.3">
      <c r="A328" s="69" t="s">
        <v>543</v>
      </c>
      <c r="B328" s="23" t="s">
        <v>155</v>
      </c>
      <c r="C328" s="8" t="s">
        <v>156</v>
      </c>
      <c r="D328" s="11" t="s">
        <v>157</v>
      </c>
      <c r="E328" s="23" t="s">
        <v>120</v>
      </c>
      <c r="F328" s="8">
        <v>5</v>
      </c>
      <c r="G328" s="11" t="s">
        <v>616</v>
      </c>
      <c r="H328" s="23">
        <v>6.2725000083446503</v>
      </c>
      <c r="I328" s="8">
        <v>5.7450000196695328</v>
      </c>
      <c r="J328" s="11">
        <v>5.8212500996887684</v>
      </c>
      <c r="K328" s="23">
        <v>11.316250078380108</v>
      </c>
      <c r="L328" s="8">
        <v>11.017500050365925</v>
      </c>
      <c r="M328" s="11">
        <v>12.032500095665455</v>
      </c>
      <c r="N328" s="23">
        <v>14.126249775290489</v>
      </c>
      <c r="O328" s="8">
        <v>15.470000028610199</v>
      </c>
      <c r="P328" s="11">
        <v>15.8849999979138</v>
      </c>
      <c r="Q328" s="23">
        <v>0</v>
      </c>
      <c r="R328" s="8">
        <v>5.9645772594752184</v>
      </c>
      <c r="S328" s="11">
        <v>4.2010787172011668</v>
      </c>
      <c r="T328" s="69">
        <f t="shared" si="39"/>
        <v>72</v>
      </c>
      <c r="U328" s="23">
        <f t="shared" si="40"/>
        <v>0</v>
      </c>
      <c r="V328" s="8">
        <f t="shared" si="41"/>
        <v>1.1278604553756269E-2</v>
      </c>
      <c r="W328" s="11">
        <f t="shared" si="42"/>
        <v>7.2738393998893957E-3</v>
      </c>
      <c r="X328" s="23">
        <f t="shared" si="44"/>
        <v>0</v>
      </c>
      <c r="Y328" s="23">
        <f t="shared" si="43"/>
        <v>0.41051091371005594</v>
      </c>
      <c r="Z328" s="23">
        <f t="shared" si="43"/>
        <v>0.2647482180970992</v>
      </c>
    </row>
    <row r="329" spans="1:26" x14ac:dyDescent="0.3">
      <c r="A329" s="69" t="s">
        <v>543</v>
      </c>
      <c r="B329" s="23" t="s">
        <v>159</v>
      </c>
      <c r="C329" s="8" t="s">
        <v>160</v>
      </c>
      <c r="D329" s="11" t="s">
        <v>161</v>
      </c>
      <c r="E329" s="23" t="s">
        <v>120</v>
      </c>
      <c r="F329" s="8">
        <v>5</v>
      </c>
      <c r="G329" s="61" t="s">
        <v>617</v>
      </c>
      <c r="H329" s="23">
        <v>5.9524999931454659</v>
      </c>
      <c r="I329" s="8">
        <v>5.8312499895691872</v>
      </c>
      <c r="J329" s="11">
        <v>5.8837499469518661</v>
      </c>
      <c r="K329" s="23">
        <v>12.382500059902668</v>
      </c>
      <c r="L329" s="8">
        <v>12.61999998241663</v>
      </c>
      <c r="M329" s="11">
        <v>12.646249867975712</v>
      </c>
      <c r="N329" s="23">
        <v>16.961250126361801</v>
      </c>
      <c r="O329" s="8">
        <v>17.438750013709001</v>
      </c>
      <c r="P329" s="11">
        <v>16.758750423788999</v>
      </c>
      <c r="Q329" s="23">
        <v>52.544460641399397</v>
      </c>
      <c r="R329" s="8">
        <v>54.106851311953399</v>
      </c>
      <c r="S329" s="11">
        <v>52.9881341107872</v>
      </c>
      <c r="T329" s="69">
        <f t="shared" si="39"/>
        <v>72</v>
      </c>
      <c r="U329" s="23">
        <f t="shared" si="40"/>
        <v>8.840510866681088E-2</v>
      </c>
      <c r="V329" s="8">
        <f t="shared" si="41"/>
        <v>8.9320607810585304E-2</v>
      </c>
      <c r="W329" s="11">
        <f t="shared" si="42"/>
        <v>8.7292238581879664E-2</v>
      </c>
      <c r="X329" s="23">
        <f t="shared" si="44"/>
        <v>3.2177085172618045</v>
      </c>
      <c r="Y329" s="23">
        <f t="shared" si="43"/>
        <v>3.2510302272499825</v>
      </c>
      <c r="Z329" s="23">
        <f t="shared" si="43"/>
        <v>3.1772030351138776</v>
      </c>
    </row>
    <row r="330" spans="1:26" x14ac:dyDescent="0.3">
      <c r="A330" s="69" t="s">
        <v>543</v>
      </c>
      <c r="B330" s="23" t="s">
        <v>163</v>
      </c>
      <c r="C330" s="8" t="s">
        <v>164</v>
      </c>
      <c r="D330" s="11" t="s">
        <v>165</v>
      </c>
      <c r="E330" s="23" t="s">
        <v>120</v>
      </c>
      <c r="F330" s="8">
        <v>5</v>
      </c>
      <c r="G330" s="11" t="s">
        <v>618</v>
      </c>
      <c r="H330" s="23">
        <v>5.7325000874698162</v>
      </c>
      <c r="I330" s="8">
        <v>5.3462499752640724</v>
      </c>
      <c r="J330" s="11">
        <v>5.3137499839067459</v>
      </c>
      <c r="K330" s="23">
        <v>13.7837499827146</v>
      </c>
      <c r="L330" s="8">
        <v>14.4749999716877</v>
      </c>
      <c r="M330" s="11">
        <v>13.287499777972601</v>
      </c>
      <c r="N330" s="23">
        <v>14.644999802112579</v>
      </c>
      <c r="O330" s="8">
        <v>15.207499638199806</v>
      </c>
      <c r="P330" s="11">
        <v>13.883750140666962</v>
      </c>
      <c r="Q330" s="23">
        <v>11.212536443148689</v>
      </c>
      <c r="R330" s="8">
        <v>12.075131195335279</v>
      </c>
      <c r="S330" s="11">
        <v>9.6186005830903802</v>
      </c>
      <c r="T330" s="69">
        <f t="shared" si="39"/>
        <v>72</v>
      </c>
      <c r="U330" s="23">
        <f t="shared" si="40"/>
        <v>1.6947094188823918E-2</v>
      </c>
      <c r="V330" s="8">
        <f t="shared" si="41"/>
        <v>1.7379290758424825E-2</v>
      </c>
      <c r="W330" s="11">
        <f t="shared" si="42"/>
        <v>1.5080904270637081E-2</v>
      </c>
      <c r="X330" s="23">
        <f t="shared" si="44"/>
        <v>0.61682871201185174</v>
      </c>
      <c r="Y330" s="23">
        <f t="shared" si="43"/>
        <v>0.63255950635290625</v>
      </c>
      <c r="Z330" s="23">
        <f t="shared" si="43"/>
        <v>0.54890441119786226</v>
      </c>
    </row>
    <row r="331" spans="1:26" x14ac:dyDescent="0.3">
      <c r="A331" s="69" t="s">
        <v>543</v>
      </c>
      <c r="B331" s="23" t="s">
        <v>167</v>
      </c>
      <c r="C331" s="8" t="s">
        <v>168</v>
      </c>
      <c r="D331" s="11" t="s">
        <v>169</v>
      </c>
      <c r="E331" s="23" t="s">
        <v>120</v>
      </c>
      <c r="F331" s="8">
        <v>5</v>
      </c>
      <c r="G331" s="61" t="s">
        <v>619</v>
      </c>
      <c r="H331" s="23">
        <v>6.5099999308586121</v>
      </c>
      <c r="I331" s="8">
        <v>6.2212499789893627</v>
      </c>
      <c r="J331" s="11">
        <v>6.3274999149143696</v>
      </c>
      <c r="K331" s="23">
        <v>12.301250174641609</v>
      </c>
      <c r="L331" s="8">
        <v>12.353749945759773</v>
      </c>
      <c r="M331" s="11">
        <v>12.311249971389771</v>
      </c>
      <c r="N331" s="23">
        <v>14.818750321865082</v>
      </c>
      <c r="O331" s="8">
        <v>14.942500367760658</v>
      </c>
      <c r="P331" s="11">
        <v>13.993750140070915</v>
      </c>
      <c r="Q331" s="23">
        <v>5.4044023323615171</v>
      </c>
      <c r="R331" s="8">
        <v>5.6765014577259487</v>
      </c>
      <c r="S331" s="11">
        <v>6.4332944606413998</v>
      </c>
      <c r="T331" s="69">
        <f t="shared" si="39"/>
        <v>72</v>
      </c>
      <c r="U331" s="23">
        <f t="shared" si="40"/>
        <v>9.1528676889795803E-3</v>
      </c>
      <c r="V331" s="8">
        <f t="shared" si="41"/>
        <v>9.5728380091219412E-3</v>
      </c>
      <c r="W331" s="11">
        <f t="shared" si="42"/>
        <v>1.088654427791619E-2</v>
      </c>
      <c r="X331" s="23">
        <f t="shared" si="44"/>
        <v>0.33313980113070751</v>
      </c>
      <c r="Y331" s="23">
        <f t="shared" si="44"/>
        <v>0.34842559282869978</v>
      </c>
      <c r="Z331" s="23">
        <f t="shared" si="44"/>
        <v>0.39624097266394259</v>
      </c>
    </row>
    <row r="332" spans="1:26" x14ac:dyDescent="0.3">
      <c r="A332" s="69" t="s">
        <v>543</v>
      </c>
      <c r="B332" s="23" t="s">
        <v>171</v>
      </c>
      <c r="C332" s="8" t="s">
        <v>172</v>
      </c>
      <c r="D332" s="11" t="s">
        <v>173</v>
      </c>
      <c r="E332" s="23" t="s">
        <v>120</v>
      </c>
      <c r="F332" s="8">
        <v>5</v>
      </c>
      <c r="G332" s="11" t="s">
        <v>620</v>
      </c>
      <c r="H332" s="23">
        <v>6.211249902844429</v>
      </c>
      <c r="I332" s="8">
        <v>5.8187500573694706</v>
      </c>
      <c r="J332" s="11">
        <v>5.8887499384582043</v>
      </c>
      <c r="K332" s="23">
        <v>12.816250137984753</v>
      </c>
      <c r="L332" s="8">
        <v>12.105000019073486</v>
      </c>
      <c r="M332" s="11">
        <v>12.504999712109566</v>
      </c>
      <c r="N332" s="23">
        <v>15.64749963581562</v>
      </c>
      <c r="O332" s="8">
        <v>15.531249716877937</v>
      </c>
      <c r="P332" s="11">
        <v>14.988749846816063</v>
      </c>
      <c r="Q332" s="23">
        <v>12.44600583090379</v>
      </c>
      <c r="R332" s="8">
        <v>14.115422740524783</v>
      </c>
      <c r="S332" s="11">
        <v>12.137084548104957</v>
      </c>
      <c r="T332" s="69">
        <f t="shared" si="39"/>
        <v>72</v>
      </c>
      <c r="U332" s="23">
        <f t="shared" si="40"/>
        <v>2.0231486226641362E-2</v>
      </c>
      <c r="V332" s="8">
        <f t="shared" si="41"/>
        <v>2.4293375186361585E-2</v>
      </c>
      <c r="W332" s="11">
        <f t="shared" si="42"/>
        <v>2.0220386557918895E-2</v>
      </c>
      <c r="X332" s="23">
        <f t="shared" si="44"/>
        <v>0.73637176097684409</v>
      </c>
      <c r="Y332" s="23">
        <f t="shared" si="44"/>
        <v>0.88421360969989415</v>
      </c>
      <c r="Z332" s="23">
        <f t="shared" si="44"/>
        <v>0.73596776284680765</v>
      </c>
    </row>
    <row r="333" spans="1:26" x14ac:dyDescent="0.3">
      <c r="A333" s="69" t="s">
        <v>543</v>
      </c>
      <c r="B333" s="23" t="s">
        <v>175</v>
      </c>
      <c r="C333" s="8" t="s">
        <v>176</v>
      </c>
      <c r="D333" s="11" t="s">
        <v>177</v>
      </c>
      <c r="E333" s="23" t="s">
        <v>30</v>
      </c>
      <c r="F333" s="8">
        <v>5</v>
      </c>
      <c r="G333" s="61" t="s">
        <v>621</v>
      </c>
      <c r="H333" s="23">
        <v>2.914374927058816</v>
      </c>
      <c r="I333" s="8">
        <v>2.8112499974668026</v>
      </c>
      <c r="J333" s="11">
        <v>2.7224999852478504</v>
      </c>
      <c r="K333" s="23">
        <v>7.655000127851963</v>
      </c>
      <c r="L333" s="8">
        <v>7.4599999934434891</v>
      </c>
      <c r="M333" s="11">
        <v>7.3075000196695328</v>
      </c>
      <c r="N333" s="23">
        <v>11.456249840557575</v>
      </c>
      <c r="O333" s="8">
        <v>10.906249843537807</v>
      </c>
      <c r="P333" s="11">
        <v>10.872500017285347</v>
      </c>
      <c r="Q333" s="23">
        <v>33.789580093312594</v>
      </c>
      <c r="R333" s="8">
        <v>20.73589424572317</v>
      </c>
      <c r="S333" s="11">
        <v>21.80988439306358</v>
      </c>
      <c r="T333" s="69">
        <f t="shared" si="39"/>
        <v>72</v>
      </c>
      <c r="U333" s="23">
        <f t="shared" si="40"/>
        <v>9.1959447879836675E-2</v>
      </c>
      <c r="V333" s="8">
        <f t="shared" si="41"/>
        <v>5.7908551898870973E-2</v>
      </c>
      <c r="W333" s="11">
        <f t="shared" si="42"/>
        <v>6.2178938118252099E-2</v>
      </c>
      <c r="X333" s="23">
        <f t="shared" si="44"/>
        <v>3.3470769183809623</v>
      </c>
      <c r="Y333" s="23">
        <f t="shared" si="44"/>
        <v>2.1077157584813602</v>
      </c>
      <c r="Z333" s="23">
        <f t="shared" si="44"/>
        <v>2.2631463474746711</v>
      </c>
    </row>
    <row r="334" spans="1:26" x14ac:dyDescent="0.3">
      <c r="A334" s="69" t="s">
        <v>543</v>
      </c>
      <c r="B334" s="23" t="s">
        <v>179</v>
      </c>
      <c r="C334" s="8" t="s">
        <v>180</v>
      </c>
      <c r="D334" s="11" t="s">
        <v>181</v>
      </c>
      <c r="E334" s="23" t="s">
        <v>30</v>
      </c>
      <c r="F334" s="8">
        <v>5</v>
      </c>
      <c r="G334" s="11" t="s">
        <v>622</v>
      </c>
      <c r="H334" s="23">
        <v>4.869375005364418</v>
      </c>
      <c r="I334" s="8">
        <v>4.986250028014183</v>
      </c>
      <c r="J334" s="11">
        <v>4.9137501046061516</v>
      </c>
      <c r="K334" s="23">
        <v>11.528749763965607</v>
      </c>
      <c r="L334" s="8">
        <v>10.923750139772892</v>
      </c>
      <c r="M334" s="11">
        <v>11.171249859035015</v>
      </c>
      <c r="N334" s="23">
        <v>14.886249974370003</v>
      </c>
      <c r="O334" s="8">
        <v>14.933750033378601</v>
      </c>
      <c r="P334" s="11">
        <v>14.943750202655792</v>
      </c>
      <c r="Q334" s="23">
        <v>18.853094867807155</v>
      </c>
      <c r="R334" s="8">
        <v>15.439595645412131</v>
      </c>
      <c r="S334" s="11">
        <v>19.306329479768785</v>
      </c>
      <c r="T334" s="69">
        <f t="shared" si="39"/>
        <v>72</v>
      </c>
      <c r="U334" s="23">
        <f t="shared" si="40"/>
        <v>3.4068985604461428E-2</v>
      </c>
      <c r="V334" s="8">
        <f t="shared" si="41"/>
        <v>2.9445770774416496E-2</v>
      </c>
      <c r="W334" s="11">
        <f t="shared" si="42"/>
        <v>3.6004493908072595E-2</v>
      </c>
      <c r="X334" s="23">
        <f t="shared" si="44"/>
        <v>1.2400195736097828</v>
      </c>
      <c r="Y334" s="23">
        <f t="shared" si="44"/>
        <v>1.0717469708144707</v>
      </c>
      <c r="Z334" s="23">
        <f t="shared" si="44"/>
        <v>1.3104668774780792</v>
      </c>
    </row>
    <row r="335" spans="1:26" x14ac:dyDescent="0.3">
      <c r="A335" s="69" t="s">
        <v>543</v>
      </c>
      <c r="B335" s="23" t="s">
        <v>183</v>
      </c>
      <c r="C335" s="8" t="s">
        <v>184</v>
      </c>
      <c r="D335" s="23" t="s">
        <v>185</v>
      </c>
      <c r="E335" s="23" t="s">
        <v>30</v>
      </c>
      <c r="F335" s="8">
        <v>5</v>
      </c>
      <c r="G335" s="61" t="s">
        <v>623</v>
      </c>
      <c r="H335" s="23">
        <v>4.9525000154972076</v>
      </c>
      <c r="I335" s="8">
        <v>4.9587500281631947</v>
      </c>
      <c r="J335" s="11">
        <v>4.8849999904632568</v>
      </c>
      <c r="K335" s="23">
        <v>9.5712499693036079</v>
      </c>
      <c r="L335" s="8">
        <v>11.13124992698431</v>
      </c>
      <c r="M335" s="11">
        <v>11.791250109672546</v>
      </c>
      <c r="N335" s="23">
        <v>12.715000100433826</v>
      </c>
      <c r="O335" s="8">
        <v>14.659999683499336</v>
      </c>
      <c r="P335" s="11">
        <v>15.224999934434891</v>
      </c>
      <c r="Q335" s="23">
        <v>44.08407465007776</v>
      </c>
      <c r="R335" s="8">
        <v>54.454961119751161</v>
      </c>
      <c r="S335" s="11">
        <v>58.490289017341041</v>
      </c>
      <c r="T335" s="69">
        <f t="shared" si="39"/>
        <v>72</v>
      </c>
      <c r="U335" s="23">
        <f t="shared" si="40"/>
        <v>9.5955933114496114E-2</v>
      </c>
      <c r="V335" s="8">
        <f t="shared" si="41"/>
        <v>0.10191832580376142</v>
      </c>
      <c r="W335" s="11">
        <f t="shared" si="42"/>
        <v>0.10334338399468586</v>
      </c>
      <c r="X335" s="23">
        <f t="shared" si="44"/>
        <v>3.4925382471729538</v>
      </c>
      <c r="Y335" s="23">
        <f t="shared" si="44"/>
        <v>3.7095533272834884</v>
      </c>
      <c r="Z335" s="23">
        <f t="shared" si="44"/>
        <v>3.7614216180155684</v>
      </c>
    </row>
    <row r="336" spans="1:26" x14ac:dyDescent="0.3">
      <c r="A336" s="69" t="s">
        <v>543</v>
      </c>
      <c r="B336" s="23" t="s">
        <v>187</v>
      </c>
      <c r="C336" s="8" t="s">
        <v>188</v>
      </c>
      <c r="D336" s="11" t="s">
        <v>189</v>
      </c>
      <c r="E336" s="23" t="s">
        <v>30</v>
      </c>
      <c r="F336" s="8">
        <v>5</v>
      </c>
      <c r="G336" s="11" t="s">
        <v>624</v>
      </c>
      <c r="H336" s="23">
        <v>4.869531188160181</v>
      </c>
      <c r="I336" s="8">
        <v>4.92125004529953</v>
      </c>
      <c r="J336" s="11">
        <v>5.1212499849498272</v>
      </c>
      <c r="K336" s="23">
        <v>10.363750159740448</v>
      </c>
      <c r="L336" s="8">
        <v>11.632500216364861</v>
      </c>
      <c r="M336" s="11">
        <v>12.013750150799751</v>
      </c>
      <c r="N336" s="23">
        <v>13.645000010728836</v>
      </c>
      <c r="O336" s="8">
        <v>15.112499892711639</v>
      </c>
      <c r="P336" s="11">
        <v>15.712499991059303</v>
      </c>
      <c r="Q336" s="23">
        <v>29.090015552099501</v>
      </c>
      <c r="R336" s="8">
        <v>30.416454121306401</v>
      </c>
      <c r="S336" s="11">
        <v>33.278872832369899</v>
      </c>
      <c r="T336" s="69">
        <f t="shared" si="39"/>
        <v>72</v>
      </c>
      <c r="U336" s="23">
        <f t="shared" si="40"/>
        <v>5.8477093844176327E-2</v>
      </c>
      <c r="V336" s="8">
        <f t="shared" si="41"/>
        <v>5.4474628475462826E-2</v>
      </c>
      <c r="W336" s="11">
        <f t="shared" si="42"/>
        <v>5.7709694472730444E-2</v>
      </c>
      <c r="X336" s="23">
        <f t="shared" si="44"/>
        <v>2.1284091583020022</v>
      </c>
      <c r="Y336" s="23">
        <f t="shared" si="44"/>
        <v>1.9827301686918715</v>
      </c>
      <c r="Z336" s="23">
        <f t="shared" si="44"/>
        <v>2.1004778822606012</v>
      </c>
    </row>
    <row r="337" spans="1:26" x14ac:dyDescent="0.3">
      <c r="A337" s="69" t="s">
        <v>543</v>
      </c>
      <c r="B337" s="23" t="s">
        <v>191</v>
      </c>
      <c r="C337" s="8" t="s">
        <v>192</v>
      </c>
      <c r="D337" s="11" t="s">
        <v>193</v>
      </c>
      <c r="E337" s="23" t="s">
        <v>30</v>
      </c>
      <c r="F337" s="8">
        <v>5</v>
      </c>
      <c r="G337" s="61" t="s">
        <v>625</v>
      </c>
      <c r="H337" s="23">
        <v>4.1921875439584255</v>
      </c>
      <c r="I337" s="8">
        <v>4.5012499205768108</v>
      </c>
      <c r="J337" s="11">
        <v>4.5324998907744884</v>
      </c>
      <c r="K337" s="23">
        <v>10.801250115036964</v>
      </c>
      <c r="L337" s="8">
        <v>10.153749957680702</v>
      </c>
      <c r="M337" s="11">
        <v>10.933749936521053</v>
      </c>
      <c r="N337" s="23">
        <v>14.256250113248825</v>
      </c>
      <c r="O337" s="8">
        <v>14.014999568462372</v>
      </c>
      <c r="P337" s="11">
        <v>14.375000074505806</v>
      </c>
      <c r="Q337" s="23">
        <v>8.8106687402799366</v>
      </c>
      <c r="R337" s="8">
        <v>10.822986003110421</v>
      </c>
      <c r="S337" s="11">
        <v>14.158815028901735</v>
      </c>
      <c r="T337" s="69">
        <f t="shared" si="39"/>
        <v>72</v>
      </c>
      <c r="U337" s="23">
        <f t="shared" si="40"/>
        <v>1.6993921703590126E-2</v>
      </c>
      <c r="V337" s="8">
        <f t="shared" si="41"/>
        <v>2.2206463228320802E-2</v>
      </c>
      <c r="W337" s="11">
        <f t="shared" si="42"/>
        <v>2.6978421384674173E-2</v>
      </c>
      <c r="X337" s="23">
        <f t="shared" si="44"/>
        <v>0.61853310778012482</v>
      </c>
      <c r="Y337" s="23">
        <f t="shared" si="44"/>
        <v>0.80825561944989954</v>
      </c>
      <c r="Z337" s="23">
        <f t="shared" si="44"/>
        <v>0.9819420798284012</v>
      </c>
    </row>
    <row r="338" spans="1:26" x14ac:dyDescent="0.3">
      <c r="A338" s="69" t="s">
        <v>543</v>
      </c>
      <c r="B338" s="23" t="s">
        <v>195</v>
      </c>
      <c r="C338" s="8" t="s">
        <v>196</v>
      </c>
      <c r="D338" s="11" t="s">
        <v>195</v>
      </c>
      <c r="E338" s="23" t="s">
        <v>30</v>
      </c>
      <c r="F338" s="8">
        <v>5</v>
      </c>
      <c r="G338" s="11" t="s">
        <v>626</v>
      </c>
      <c r="H338" s="23">
        <v>4.4332812540233135</v>
      </c>
      <c r="I338" s="8">
        <v>3.4262499772012234</v>
      </c>
      <c r="J338" s="11">
        <v>3.2362500205636024</v>
      </c>
      <c r="K338" s="23">
        <v>7.7674999833106995</v>
      </c>
      <c r="L338" s="8">
        <v>7.5349999591708183</v>
      </c>
      <c r="M338" s="11">
        <v>7.9874999821186066</v>
      </c>
      <c r="N338" s="23">
        <v>11.313749849796295</v>
      </c>
      <c r="O338" s="8">
        <v>11.122499965131283</v>
      </c>
      <c r="P338" s="11">
        <v>10.927499830722809</v>
      </c>
      <c r="Q338" s="23">
        <v>5.3616174183514778</v>
      </c>
      <c r="R338" s="8">
        <v>6.503328149300156</v>
      </c>
      <c r="S338" s="11">
        <v>5.3194219653178996</v>
      </c>
      <c r="T338" s="69">
        <f t="shared" si="39"/>
        <v>72</v>
      </c>
      <c r="U338" s="23">
        <f t="shared" si="40"/>
        <v>1.4380478033128107E-2</v>
      </c>
      <c r="V338" s="8">
        <f t="shared" si="41"/>
        <v>1.7980889694036488E-2</v>
      </c>
      <c r="W338" s="11">
        <f t="shared" si="42"/>
        <v>1.3874340055363435E-2</v>
      </c>
      <c r="X338" s="23">
        <f t="shared" si="44"/>
        <v>0.52341077735549613</v>
      </c>
      <c r="Y338" s="23">
        <f t="shared" si="44"/>
        <v>0.6544560918363197</v>
      </c>
      <c r="Z338" s="23">
        <f t="shared" si="44"/>
        <v>0.50498871434892167</v>
      </c>
    </row>
    <row r="339" spans="1:26" x14ac:dyDescent="0.3">
      <c r="A339" s="69" t="s">
        <v>543</v>
      </c>
      <c r="B339" s="23" t="s">
        <v>198</v>
      </c>
      <c r="C339" s="8" t="s">
        <v>199</v>
      </c>
      <c r="D339" s="11" t="s">
        <v>200</v>
      </c>
      <c r="E339" s="23" t="s">
        <v>30</v>
      </c>
      <c r="F339" s="8">
        <v>5</v>
      </c>
      <c r="G339" s="61" t="s">
        <v>627</v>
      </c>
      <c r="H339" s="23">
        <v>4.7339062206447124</v>
      </c>
      <c r="I339" s="8">
        <v>4.8262500204145908</v>
      </c>
      <c r="J339" s="11">
        <v>4.8849999904632568</v>
      </c>
      <c r="K339" s="23">
        <v>11.312500014901161</v>
      </c>
      <c r="L339" s="8">
        <v>10.680000111460686</v>
      </c>
      <c r="M339" s="11">
        <v>11.119999922811985</v>
      </c>
      <c r="N339" s="23">
        <v>14.876250177621841</v>
      </c>
      <c r="O339" s="8">
        <v>13.985000178217888</v>
      </c>
      <c r="P339" s="11">
        <v>14.528749883174896</v>
      </c>
      <c r="Q339" s="23">
        <v>41.4519440124417</v>
      </c>
      <c r="R339" s="8">
        <v>39.660062208398138</v>
      </c>
      <c r="S339" s="11">
        <v>40.604653179190748</v>
      </c>
      <c r="T339" s="69">
        <f t="shared" si="39"/>
        <v>72</v>
      </c>
      <c r="U339" s="23">
        <f t="shared" si="40"/>
        <v>7.6338754986813931E-2</v>
      </c>
      <c r="V339" s="8">
        <f t="shared" si="41"/>
        <v>7.7364352751424226E-2</v>
      </c>
      <c r="W339" s="11">
        <f t="shared" si="42"/>
        <v>7.6072866945898154E-2</v>
      </c>
      <c r="X339" s="23">
        <f t="shared" si="44"/>
        <v>2.7785256510911349</v>
      </c>
      <c r="Y339" s="23">
        <f t="shared" si="44"/>
        <v>2.8158546551751504</v>
      </c>
      <c r="Z339" s="23">
        <f t="shared" si="44"/>
        <v>2.7688480405232068</v>
      </c>
    </row>
    <row r="340" spans="1:26" x14ac:dyDescent="0.3">
      <c r="A340" s="69" t="s">
        <v>543</v>
      </c>
      <c r="B340" s="23" t="s">
        <v>202</v>
      </c>
      <c r="C340" s="8" t="s">
        <v>203</v>
      </c>
      <c r="D340" s="11" t="s">
        <v>204</v>
      </c>
      <c r="E340" s="23" t="s">
        <v>30</v>
      </c>
      <c r="F340" s="8">
        <v>5</v>
      </c>
      <c r="G340" s="11" t="s">
        <v>628</v>
      </c>
      <c r="H340" s="23">
        <v>4.7831250354647636</v>
      </c>
      <c r="I340" s="8">
        <v>4.5712499879300594</v>
      </c>
      <c r="J340" s="11">
        <v>4.6299999579787254</v>
      </c>
      <c r="K340" s="23">
        <v>10.816249996423721</v>
      </c>
      <c r="L340" s="8">
        <v>11.203749850392342</v>
      </c>
      <c r="M340" s="11">
        <v>10.84624994546175</v>
      </c>
      <c r="N340" s="23">
        <v>15.092499926686287</v>
      </c>
      <c r="O340" s="8">
        <v>13.996249809861183</v>
      </c>
      <c r="P340" s="11">
        <v>14.534999802708626</v>
      </c>
      <c r="Q340" s="23">
        <v>41.011228615863097</v>
      </c>
      <c r="R340" s="8">
        <v>35.505816485225509</v>
      </c>
      <c r="S340" s="11">
        <v>40.098323699421961</v>
      </c>
      <c r="T340" s="69">
        <f t="shared" si="39"/>
        <v>72</v>
      </c>
      <c r="U340" s="23">
        <f t="shared" si="40"/>
        <v>7.8992312164226322E-2</v>
      </c>
      <c r="V340" s="8">
        <f t="shared" si="41"/>
        <v>6.6022940532089916E-2</v>
      </c>
      <c r="W340" s="11">
        <f t="shared" si="42"/>
        <v>7.7020329416942396E-2</v>
      </c>
      <c r="X340" s="23">
        <f t="shared" si="44"/>
        <v>2.8751080054320046</v>
      </c>
      <c r="Y340" s="23">
        <f t="shared" si="44"/>
        <v>2.403057711126718</v>
      </c>
      <c r="Z340" s="23">
        <f t="shared" si="44"/>
        <v>2.8033331297769855</v>
      </c>
    </row>
    <row r="341" spans="1:26" x14ac:dyDescent="0.3">
      <c r="A341" s="69" t="s">
        <v>543</v>
      </c>
      <c r="B341" s="23" t="s">
        <v>206</v>
      </c>
      <c r="C341" s="8" t="s">
        <v>207</v>
      </c>
      <c r="D341" s="11" t="s">
        <v>208</v>
      </c>
      <c r="E341" s="23" t="s">
        <v>30</v>
      </c>
      <c r="F341" s="8">
        <v>5</v>
      </c>
      <c r="G341" s="61" t="s">
        <v>629</v>
      </c>
      <c r="H341" s="23">
        <v>4.5489062555134296</v>
      </c>
      <c r="I341" s="8">
        <v>5.1324999891221523</v>
      </c>
      <c r="J341" s="11">
        <v>5.038749985396862</v>
      </c>
      <c r="K341" s="23">
        <v>11.024999991059303</v>
      </c>
      <c r="L341" s="8">
        <v>10.838750191032887</v>
      </c>
      <c r="M341" s="11">
        <v>11.515000090003014</v>
      </c>
      <c r="N341" s="23">
        <v>15.105000138282776</v>
      </c>
      <c r="O341" s="8">
        <v>14.497500285506248</v>
      </c>
      <c r="P341" s="11">
        <v>15.322499722242355</v>
      </c>
      <c r="Q341" s="23">
        <v>27.3657231726283</v>
      </c>
      <c r="R341" s="8">
        <v>27.804199066873998</v>
      </c>
      <c r="S341" s="11">
        <v>25.754248554913293</v>
      </c>
      <c r="T341" s="69">
        <f t="shared" si="39"/>
        <v>72</v>
      </c>
      <c r="U341" s="23">
        <f t="shared" si="40"/>
        <v>5.1711495077136183E-2</v>
      </c>
      <c r="V341" s="8">
        <f t="shared" si="41"/>
        <v>5.3442891202139714E-2</v>
      </c>
      <c r="W341" s="11">
        <f t="shared" si="42"/>
        <v>4.6595470317003403E-2</v>
      </c>
      <c r="X341" s="23">
        <f t="shared" si="44"/>
        <v>1.8821595342092508</v>
      </c>
      <c r="Y341" s="23">
        <f t="shared" si="44"/>
        <v>1.9451777029801858</v>
      </c>
      <c r="Z341" s="23">
        <f t="shared" si="44"/>
        <v>1.695949973546365</v>
      </c>
    </row>
    <row r="342" spans="1:26" x14ac:dyDescent="0.3">
      <c r="A342" s="69" t="s">
        <v>543</v>
      </c>
      <c r="B342" s="23" t="s">
        <v>210</v>
      </c>
      <c r="C342" s="8" t="s">
        <v>211</v>
      </c>
      <c r="D342" s="11" t="s">
        <v>211</v>
      </c>
      <c r="E342" s="23" t="s">
        <v>30</v>
      </c>
      <c r="F342" s="8">
        <v>5</v>
      </c>
      <c r="G342" s="11" t="s">
        <v>630</v>
      </c>
      <c r="H342" s="23">
        <v>4.7562500461935997</v>
      </c>
      <c r="I342" s="8">
        <v>4.4637500308454037</v>
      </c>
      <c r="J342" s="11">
        <v>4.205000028014183</v>
      </c>
      <c r="K342" s="23">
        <v>9.9062500521540642</v>
      </c>
      <c r="L342" s="8">
        <v>9.8587499931454659</v>
      </c>
      <c r="M342" s="11">
        <v>9.8137499764561653</v>
      </c>
      <c r="N342" s="23">
        <v>12.253750301897526</v>
      </c>
      <c r="O342" s="8">
        <v>12.639999948441982</v>
      </c>
      <c r="P342" s="11">
        <v>12.416250072419643</v>
      </c>
      <c r="Q342" s="23">
        <v>46.800715396578539</v>
      </c>
      <c r="R342" s="8">
        <v>52.002550544323483</v>
      </c>
      <c r="S342" s="11">
        <v>51.939913294797684</v>
      </c>
      <c r="T342" s="69">
        <f t="shared" si="39"/>
        <v>72</v>
      </c>
      <c r="U342" s="23">
        <f t="shared" si="40"/>
        <v>9.8424216929934472E-2</v>
      </c>
      <c r="V342" s="8">
        <f t="shared" si="41"/>
        <v>0.10989085537483519</v>
      </c>
      <c r="W342" s="11">
        <f t="shared" si="42"/>
        <v>0.11026177858320589</v>
      </c>
      <c r="X342" s="23">
        <f t="shared" si="44"/>
        <v>3.5823771487446807</v>
      </c>
      <c r="Y342" s="23">
        <f t="shared" si="44"/>
        <v>3.9997319910714606</v>
      </c>
      <c r="Z342" s="23">
        <f t="shared" si="44"/>
        <v>4.0132325996315696</v>
      </c>
    </row>
    <row r="343" spans="1:26" x14ac:dyDescent="0.3">
      <c r="A343" s="69" t="s">
        <v>543</v>
      </c>
      <c r="B343" s="23" t="s">
        <v>213</v>
      </c>
      <c r="C343" s="8" t="s">
        <v>214</v>
      </c>
      <c r="D343" s="11" t="s">
        <v>215</v>
      </c>
      <c r="E343" s="23" t="s">
        <v>30</v>
      </c>
      <c r="F343" s="8">
        <v>5</v>
      </c>
      <c r="G343" s="61" t="s">
        <v>631</v>
      </c>
      <c r="H343" s="23">
        <v>4.2079687118530273</v>
      </c>
      <c r="I343" s="8">
        <v>3.6087499931454659</v>
      </c>
      <c r="J343" s="11">
        <v>3.4387500025331974</v>
      </c>
      <c r="K343" s="23">
        <v>7.5162500143051147</v>
      </c>
      <c r="L343" s="8">
        <v>7.2187500074505806</v>
      </c>
      <c r="M343" s="11">
        <v>7.6625000685453415</v>
      </c>
      <c r="N343" s="23">
        <v>10.637499950826168</v>
      </c>
      <c r="O343" s="8">
        <v>10.31625010073185</v>
      </c>
      <c r="P343" s="11">
        <v>10.768749937415123</v>
      </c>
      <c r="Q343" s="23">
        <v>7.5683048211508561</v>
      </c>
      <c r="R343" s="8">
        <v>9.30149300155521</v>
      </c>
      <c r="S343" s="11">
        <v>14.085404624277455</v>
      </c>
      <c r="T343" s="69">
        <f t="shared" si="39"/>
        <v>72</v>
      </c>
      <c r="U343" s="23">
        <f t="shared" si="40"/>
        <v>2.0977617403255915E-2</v>
      </c>
      <c r="V343" s="8">
        <f t="shared" si="41"/>
        <v>2.6844135618917745E-2</v>
      </c>
      <c r="W343" s="11">
        <f t="shared" si="42"/>
        <v>3.8296368945828295E-2</v>
      </c>
      <c r="X343" s="23">
        <f t="shared" si="44"/>
        <v>0.76352893184844717</v>
      </c>
      <c r="Y343" s="23">
        <f t="shared" si="44"/>
        <v>0.97705443861922636</v>
      </c>
      <c r="Z343" s="23">
        <f t="shared" si="44"/>
        <v>1.3938849733403924</v>
      </c>
    </row>
    <row r="344" spans="1:26" x14ac:dyDescent="0.3">
      <c r="A344" s="69" t="s">
        <v>543</v>
      </c>
      <c r="B344" s="23" t="s">
        <v>217</v>
      </c>
      <c r="C344" s="8" t="s">
        <v>218</v>
      </c>
      <c r="D344" s="11" t="s">
        <v>219</v>
      </c>
      <c r="E344" s="23" t="s">
        <v>30</v>
      </c>
      <c r="F344" s="8">
        <v>5</v>
      </c>
      <c r="G344" s="11" t="s">
        <v>632</v>
      </c>
      <c r="H344" s="23">
        <v>4.7253124415874481</v>
      </c>
      <c r="I344" s="8">
        <v>4.5862500555813313</v>
      </c>
      <c r="J344" s="11">
        <v>4.59624994546175</v>
      </c>
      <c r="K344" s="23">
        <v>10.930000059306622</v>
      </c>
      <c r="L344" s="8">
        <v>10.320000164210796</v>
      </c>
      <c r="M344" s="11">
        <v>10.738749802112579</v>
      </c>
      <c r="N344" s="23">
        <v>14.291249960660934</v>
      </c>
      <c r="O344" s="8">
        <v>12.923750281333923</v>
      </c>
      <c r="P344" s="11">
        <v>14.454999938607216</v>
      </c>
      <c r="Q344" s="23">
        <v>61.083608087091761</v>
      </c>
      <c r="R344" s="8">
        <v>59.506314152410582</v>
      </c>
      <c r="S344" s="11">
        <v>61.589739884393062</v>
      </c>
      <c r="T344" s="69">
        <f t="shared" si="39"/>
        <v>72</v>
      </c>
      <c r="U344" s="23">
        <f t="shared" si="40"/>
        <v>0.11642956647539195</v>
      </c>
      <c r="V344" s="8">
        <f t="shared" si="41"/>
        <v>0.12012740876443828</v>
      </c>
      <c r="W344" s="11">
        <f t="shared" si="42"/>
        <v>0.11948500566354885</v>
      </c>
      <c r="X344" s="23">
        <f t="shared" si="44"/>
        <v>4.2377235134785192</v>
      </c>
      <c r="Y344" s="23">
        <f t="shared" si="44"/>
        <v>4.3723150411446374</v>
      </c>
      <c r="Z344" s="23">
        <f t="shared" si="44"/>
        <v>4.3489332936368337</v>
      </c>
    </row>
    <row r="345" spans="1:26" x14ac:dyDescent="0.3">
      <c r="A345" s="69" t="s">
        <v>543</v>
      </c>
      <c r="B345" s="23" t="s">
        <v>221</v>
      </c>
      <c r="C345" s="8" t="s">
        <v>222</v>
      </c>
      <c r="D345" s="11" t="s">
        <v>223</v>
      </c>
      <c r="E345" s="23" t="s">
        <v>30</v>
      </c>
      <c r="F345" s="8">
        <v>5</v>
      </c>
      <c r="G345" s="61" t="s">
        <v>633</v>
      </c>
      <c r="H345" s="23">
        <v>4.7890624962747097</v>
      </c>
      <c r="I345" s="8">
        <v>5.0099999643862247</v>
      </c>
      <c r="J345" s="11">
        <v>4.7612500376999378</v>
      </c>
      <c r="K345" s="23">
        <v>11.043750122189522</v>
      </c>
      <c r="L345" s="8">
        <v>10.405000112950802</v>
      </c>
      <c r="M345" s="11">
        <v>11.144999973475933</v>
      </c>
      <c r="N345" s="23">
        <v>15.880000218749046</v>
      </c>
      <c r="O345" s="8">
        <v>14.617500081658363</v>
      </c>
      <c r="P345" s="11">
        <v>15.13499990105629</v>
      </c>
      <c r="Q345" s="23">
        <v>15.631477449455678</v>
      </c>
      <c r="R345" s="8">
        <v>12.132877138413685</v>
      </c>
      <c r="S345" s="11">
        <v>7.1533815028901726</v>
      </c>
      <c r="T345" s="69">
        <f t="shared" si="39"/>
        <v>72</v>
      </c>
      <c r="U345" s="23">
        <f t="shared" si="40"/>
        <v>2.9487789618009675E-2</v>
      </c>
      <c r="V345" s="8">
        <f t="shared" si="41"/>
        <v>2.4292962130998769E-2</v>
      </c>
      <c r="W345" s="11">
        <f t="shared" si="42"/>
        <v>1.3371806340501266E-2</v>
      </c>
      <c r="X345" s="23">
        <f t="shared" si="44"/>
        <v>1.073276343867162</v>
      </c>
      <c r="Y345" s="23">
        <f t="shared" si="44"/>
        <v>0.88419857559407067</v>
      </c>
      <c r="Z345" s="23">
        <f t="shared" si="44"/>
        <v>0.48669783683167844</v>
      </c>
    </row>
    <row r="346" spans="1:26" x14ac:dyDescent="0.3">
      <c r="A346" s="69" t="s">
        <v>543</v>
      </c>
      <c r="B346" s="76" t="s">
        <v>225</v>
      </c>
      <c r="C346" s="76" t="s">
        <v>226</v>
      </c>
      <c r="D346" s="11" t="s">
        <v>227</v>
      </c>
      <c r="E346" s="23" t="s">
        <v>30</v>
      </c>
      <c r="F346" s="8">
        <v>5</v>
      </c>
      <c r="G346" s="11" t="s">
        <v>634</v>
      </c>
      <c r="H346" s="23">
        <v>4.4087499380111694</v>
      </c>
      <c r="I346" s="8">
        <v>4.022500105202198</v>
      </c>
      <c r="J346" s="11">
        <v>4.0224999189376831</v>
      </c>
      <c r="K346" s="23">
        <v>9.4912499189376831</v>
      </c>
      <c r="L346" s="8">
        <v>9.8362497985363007</v>
      </c>
      <c r="M346" s="11">
        <v>9.5887498930096626</v>
      </c>
      <c r="N346" s="23">
        <v>13.124999962747097</v>
      </c>
      <c r="O346" s="8">
        <v>12.586250156164169</v>
      </c>
      <c r="P346" s="11">
        <v>13.131250068545341</v>
      </c>
      <c r="Q346" s="23">
        <v>18.429175738724727</v>
      </c>
      <c r="R346" s="8">
        <v>20.248584758942457</v>
      </c>
      <c r="S346" s="11">
        <v>29.142745664739884</v>
      </c>
      <c r="T346" s="69">
        <f t="shared" si="39"/>
        <v>72</v>
      </c>
      <c r="U346" s="23">
        <f t="shared" si="40"/>
        <v>4.0452117951015325E-2</v>
      </c>
      <c r="V346" s="8">
        <f t="shared" si="41"/>
        <v>4.2886824191276089E-2</v>
      </c>
      <c r="W346" s="11">
        <f t="shared" si="42"/>
        <v>6.3318007191395728E-2</v>
      </c>
      <c r="X346" s="23">
        <f t="shared" si="44"/>
        <v>1.4723484472241488</v>
      </c>
      <c r="Y346" s="23">
        <f t="shared" si="44"/>
        <v>1.5609652152419753</v>
      </c>
      <c r="Z346" s="23">
        <f t="shared" si="44"/>
        <v>2.304605402428356</v>
      </c>
    </row>
    <row r="347" spans="1:26" x14ac:dyDescent="0.3">
      <c r="A347" s="69" t="s">
        <v>543</v>
      </c>
      <c r="B347" s="11" t="s">
        <v>229</v>
      </c>
      <c r="C347" s="76" t="s">
        <v>230</v>
      </c>
      <c r="D347" s="11" t="s">
        <v>231</v>
      </c>
      <c r="E347" s="23" t="s">
        <v>30</v>
      </c>
      <c r="F347" s="8">
        <v>5</v>
      </c>
      <c r="G347" s="61" t="s">
        <v>635</v>
      </c>
      <c r="H347" s="23">
        <v>4.6498437412083149</v>
      </c>
      <c r="I347" s="8">
        <v>5.7562500238418579</v>
      </c>
      <c r="J347" s="11">
        <v>5.4137500002980232</v>
      </c>
      <c r="K347" s="23">
        <v>11.730000004172325</v>
      </c>
      <c r="L347" s="8">
        <v>11.283750087022781</v>
      </c>
      <c r="M347" s="11">
        <v>11.69624999165535</v>
      </c>
      <c r="N347" s="23">
        <v>15.140000358223915</v>
      </c>
      <c r="O347" s="8">
        <v>14.344999939203262</v>
      </c>
      <c r="P347" s="11">
        <v>14.99750018119812</v>
      </c>
      <c r="Q347" s="23">
        <v>8.9670606531881809</v>
      </c>
      <c r="R347" s="8">
        <v>6.2157698289269048</v>
      </c>
      <c r="S347" s="11">
        <v>7.1533815028901726</v>
      </c>
      <c r="T347" s="69">
        <f t="shared" si="39"/>
        <v>72</v>
      </c>
      <c r="U347" s="23">
        <f t="shared" si="40"/>
        <v>1.5926152049585508E-2</v>
      </c>
      <c r="V347" s="8">
        <f t="shared" si="41"/>
        <v>1.1476256011575479E-2</v>
      </c>
      <c r="W347" s="11">
        <f t="shared" si="42"/>
        <v>1.2741586527009597E-2</v>
      </c>
      <c r="X347" s="23">
        <f t="shared" si="44"/>
        <v>0.57966916018730652</v>
      </c>
      <c r="Y347" s="23">
        <f t="shared" si="44"/>
        <v>0.41770489592290566</v>
      </c>
      <c r="Z347" s="23">
        <f t="shared" si="44"/>
        <v>0.46375952826331179</v>
      </c>
    </row>
    <row r="348" spans="1:26" x14ac:dyDescent="0.3">
      <c r="A348" s="69" t="s">
        <v>543</v>
      </c>
      <c r="B348" s="76" t="s">
        <v>233</v>
      </c>
      <c r="C348" s="76" t="s">
        <v>234</v>
      </c>
      <c r="D348" s="11" t="s">
        <v>233</v>
      </c>
      <c r="E348" s="23" t="s">
        <v>30</v>
      </c>
      <c r="F348" s="8">
        <v>5</v>
      </c>
      <c r="G348" s="11" t="s">
        <v>636</v>
      </c>
      <c r="H348" s="23">
        <v>4.4901562854647636</v>
      </c>
      <c r="I348" s="8">
        <v>4.0387501008808613</v>
      </c>
      <c r="J348" s="11">
        <v>3.8000000640749931</v>
      </c>
      <c r="K348" s="23">
        <v>8.7287498638033867</v>
      </c>
      <c r="L348" s="8">
        <v>8.5212500765919685</v>
      </c>
      <c r="M348" s="11">
        <v>8.91875009983778</v>
      </c>
      <c r="N348" s="23">
        <v>11.779999732971191</v>
      </c>
      <c r="O348" s="8">
        <v>12.002499960362911</v>
      </c>
      <c r="P348" s="11">
        <v>12.800000049173832</v>
      </c>
      <c r="Q348" s="23">
        <v>6.208398133748056</v>
      </c>
      <c r="R348" s="8">
        <v>6.6283048211508557</v>
      </c>
      <c r="S348" s="11">
        <v>9.3563294797687853</v>
      </c>
      <c r="T348" s="69">
        <f t="shared" si="39"/>
        <v>72</v>
      </c>
      <c r="U348" s="23">
        <f t="shared" si="40"/>
        <v>1.4817886845718326E-2</v>
      </c>
      <c r="V348" s="8">
        <f t="shared" si="41"/>
        <v>1.6205331674669549E-2</v>
      </c>
      <c r="W348" s="11">
        <f t="shared" si="42"/>
        <v>2.1855476232265077E-2</v>
      </c>
      <c r="X348" s="23">
        <f t="shared" si="44"/>
        <v>0.53933128334233293</v>
      </c>
      <c r="Y348" s="23">
        <f t="shared" si="44"/>
        <v>0.58983054872045726</v>
      </c>
      <c r="Z348" s="23">
        <f t="shared" si="44"/>
        <v>0.79548063547342907</v>
      </c>
    </row>
    <row r="349" spans="1:26" x14ac:dyDescent="0.3">
      <c r="A349" s="69" t="s">
        <v>543</v>
      </c>
      <c r="B349" s="11" t="s">
        <v>236</v>
      </c>
      <c r="C349" s="76" t="s">
        <v>237</v>
      </c>
      <c r="D349" s="11" t="s">
        <v>236</v>
      </c>
      <c r="E349" s="23" t="s">
        <v>30</v>
      </c>
      <c r="F349" s="8">
        <v>5</v>
      </c>
      <c r="G349" s="61" t="s">
        <v>637</v>
      </c>
      <c r="H349" s="23">
        <v>5.0632813014090061</v>
      </c>
      <c r="I349" s="8">
        <v>5.5587500333786011</v>
      </c>
      <c r="J349" s="11">
        <v>5.0774999894201756</v>
      </c>
      <c r="K349" s="23">
        <v>11.238749884068966</v>
      </c>
      <c r="L349" s="8">
        <v>10.626249946653843</v>
      </c>
      <c r="M349" s="11">
        <v>11.41125001013279</v>
      </c>
      <c r="N349" s="23">
        <v>15.303749591112137</v>
      </c>
      <c r="O349" s="8">
        <v>14.333749562501907</v>
      </c>
      <c r="P349" s="11">
        <v>15.434999763965607</v>
      </c>
      <c r="Q349" s="23">
        <v>9.9142768273716975</v>
      </c>
      <c r="R349" s="8">
        <v>7.2877449455676517</v>
      </c>
      <c r="S349" s="11">
        <v>14.11635838150289</v>
      </c>
      <c r="T349" s="69">
        <f t="shared" si="39"/>
        <v>72</v>
      </c>
      <c r="U349" s="23">
        <f t="shared" si="40"/>
        <v>1.8378150242168833E-2</v>
      </c>
      <c r="V349" s="8">
        <f t="shared" si="41"/>
        <v>1.4288015100485758E-2</v>
      </c>
      <c r="W349" s="11">
        <f t="shared" si="42"/>
        <v>2.5772005639478693E-2</v>
      </c>
      <c r="X349" s="23">
        <f t="shared" si="44"/>
        <v>0.66891530882699379</v>
      </c>
      <c r="Y349" s="23">
        <f t="shared" si="44"/>
        <v>0.52004537494401781</v>
      </c>
      <c r="Z349" s="23">
        <f t="shared" si="44"/>
        <v>0.93803178689154532</v>
      </c>
    </row>
    <row r="350" spans="1:26" x14ac:dyDescent="0.3">
      <c r="A350" s="69" t="s">
        <v>543</v>
      </c>
      <c r="B350" s="76" t="s">
        <v>239</v>
      </c>
      <c r="C350" s="76" t="s">
        <v>240</v>
      </c>
      <c r="D350" s="11" t="s">
        <v>241</v>
      </c>
      <c r="E350" s="23" t="s">
        <v>30</v>
      </c>
      <c r="F350" s="8">
        <v>5</v>
      </c>
      <c r="G350" s="11" t="s">
        <v>638</v>
      </c>
      <c r="H350" s="23">
        <v>4.639374976977706</v>
      </c>
      <c r="I350" s="8">
        <v>4.7512499615550041</v>
      </c>
      <c r="J350" s="11">
        <v>4.3150000274181366</v>
      </c>
      <c r="K350" s="23">
        <v>10.541249997913837</v>
      </c>
      <c r="L350" s="8">
        <v>10.097500123083591</v>
      </c>
      <c r="M350" s="11">
        <v>10.492500104010105</v>
      </c>
      <c r="N350" s="23">
        <v>14.143750444054604</v>
      </c>
      <c r="O350" s="8">
        <v>13.222499564290047</v>
      </c>
      <c r="P350" s="11">
        <v>14.293750002980232</v>
      </c>
      <c r="Q350" s="23">
        <v>42.761835147744947</v>
      </c>
      <c r="R350" s="8">
        <v>45.815956454121306</v>
      </c>
      <c r="S350" s="11">
        <v>44.778554913294791</v>
      </c>
      <c r="T350" s="69">
        <f t="shared" si="39"/>
        <v>72</v>
      </c>
      <c r="U350" s="23">
        <f t="shared" si="40"/>
        <v>8.4512896075354185E-2</v>
      </c>
      <c r="V350" s="8">
        <f t="shared" si="41"/>
        <v>9.4528257604289831E-2</v>
      </c>
      <c r="W350" s="11">
        <f t="shared" si="42"/>
        <v>8.8909845265296092E-2</v>
      </c>
      <c r="X350" s="23">
        <f t="shared" si="44"/>
        <v>3.0760424326272</v>
      </c>
      <c r="Y350" s="23">
        <f t="shared" si="44"/>
        <v>3.4405746930486041</v>
      </c>
      <c r="Z350" s="23">
        <f t="shared" si="44"/>
        <v>3.2360795738264274</v>
      </c>
    </row>
    <row r="351" spans="1:26" x14ac:dyDescent="0.3">
      <c r="A351" s="69" t="s">
        <v>543</v>
      </c>
      <c r="B351" s="76" t="s">
        <v>243</v>
      </c>
      <c r="C351" s="76" t="s">
        <v>244</v>
      </c>
      <c r="D351" s="11" t="s">
        <v>245</v>
      </c>
      <c r="E351" s="23" t="s">
        <v>82</v>
      </c>
      <c r="F351" s="8">
        <v>5</v>
      </c>
      <c r="G351" s="61" t="s">
        <v>639</v>
      </c>
      <c r="H351" s="23">
        <v>4.7160936519503593</v>
      </c>
      <c r="I351" s="8">
        <v>4.9225000664591789</v>
      </c>
      <c r="J351" s="11">
        <v>4.8837500624358654</v>
      </c>
      <c r="K351" s="23">
        <v>11.629999987781048</v>
      </c>
      <c r="L351" s="8">
        <v>10.624999925494194</v>
      </c>
      <c r="M351" s="11">
        <v>11.283750087022781</v>
      </c>
      <c r="N351" s="23">
        <v>16.038750112056732</v>
      </c>
      <c r="O351" s="8">
        <v>14.796249940991402</v>
      </c>
      <c r="P351" s="11">
        <v>15.414999797940254</v>
      </c>
      <c r="Q351" s="23">
        <v>28.1163005780347</v>
      </c>
      <c r="R351" s="8">
        <v>32.141213063763601</v>
      </c>
      <c r="S351" s="11">
        <v>28.005256609642299</v>
      </c>
      <c r="T351" s="69">
        <f t="shared" si="39"/>
        <v>72</v>
      </c>
      <c r="U351" s="23">
        <f t="shared" si="40"/>
        <v>5.0365972713483143E-2</v>
      </c>
      <c r="V351" s="8">
        <f t="shared" si="41"/>
        <v>6.3021986841466246E-2</v>
      </c>
      <c r="W351" s="11">
        <f t="shared" si="42"/>
        <v>5.1706466514640441E-2</v>
      </c>
      <c r="X351" s="23">
        <f t="shared" si="44"/>
        <v>1.8331861339727324</v>
      </c>
      <c r="Y351" s="23">
        <f t="shared" si="44"/>
        <v>2.293831056741606</v>
      </c>
      <c r="Z351" s="23">
        <f t="shared" si="44"/>
        <v>1.8819765080401059</v>
      </c>
    </row>
    <row r="352" spans="1:26" x14ac:dyDescent="0.3">
      <c r="A352" s="69" t="s">
        <v>543</v>
      </c>
      <c r="B352" s="76" t="s">
        <v>247</v>
      </c>
      <c r="C352" s="76" t="s">
        <v>248</v>
      </c>
      <c r="D352" s="11" t="s">
        <v>249</v>
      </c>
      <c r="E352" s="23" t="s">
        <v>82</v>
      </c>
      <c r="F352" s="8">
        <v>5</v>
      </c>
      <c r="G352" s="11" t="s">
        <v>640</v>
      </c>
      <c r="H352" s="23">
        <v>3.6343749612569809</v>
      </c>
      <c r="I352" s="8">
        <v>3.3512500114738941</v>
      </c>
      <c r="J352" s="11">
        <v>3.2224999740719795</v>
      </c>
      <c r="K352" s="23">
        <v>7.1112502366304398</v>
      </c>
      <c r="L352" s="8">
        <v>7.3374999687075615</v>
      </c>
      <c r="M352" s="11">
        <v>7.0275001227855682</v>
      </c>
      <c r="N352" s="23">
        <v>9.1237498447299004</v>
      </c>
      <c r="O352" s="8">
        <v>9.1062499210238457</v>
      </c>
      <c r="P352" s="11">
        <v>9.0787500143051147</v>
      </c>
      <c r="Q352" s="23">
        <v>40.071473988439301</v>
      </c>
      <c r="R352" s="8">
        <v>40.662737169517889</v>
      </c>
      <c r="S352" s="11">
        <v>43.073499222395029</v>
      </c>
      <c r="T352" s="69">
        <f t="shared" si="39"/>
        <v>72</v>
      </c>
      <c r="U352" s="23">
        <f t="shared" si="40"/>
        <v>0.11739459968078979</v>
      </c>
      <c r="V352" s="8">
        <f t="shared" si="41"/>
        <v>0.11545354157562006</v>
      </c>
      <c r="W352" s="11">
        <f t="shared" si="42"/>
        <v>0.12769328373594271</v>
      </c>
      <c r="X352" s="23">
        <f t="shared" si="44"/>
        <v>4.2728481302713366</v>
      </c>
      <c r="Y352" s="23">
        <f t="shared" si="44"/>
        <v>4.2021988285319507</v>
      </c>
      <c r="Z352" s="23">
        <f t="shared" si="44"/>
        <v>4.6476925697001485</v>
      </c>
    </row>
    <row r="353" spans="1:26" x14ac:dyDescent="0.3">
      <c r="A353" s="69" t="s">
        <v>543</v>
      </c>
      <c r="B353" s="76" t="s">
        <v>251</v>
      </c>
      <c r="C353" s="76" t="s">
        <v>252</v>
      </c>
      <c r="D353" s="11" t="s">
        <v>253</v>
      </c>
      <c r="E353" s="23" t="s">
        <v>82</v>
      </c>
      <c r="F353" s="8">
        <v>5</v>
      </c>
      <c r="G353" s="61" t="s">
        <v>641</v>
      </c>
      <c r="H353" s="23">
        <v>2.8651561588048935</v>
      </c>
      <c r="I353" s="8">
        <v>5.0812500528991222</v>
      </c>
      <c r="J353" s="11">
        <v>5.0575000233948231</v>
      </c>
      <c r="K353" s="23">
        <v>6.4687498845160007</v>
      </c>
      <c r="L353" s="8">
        <v>6.5587500110268593</v>
      </c>
      <c r="M353" s="11">
        <v>6.5712500363588333</v>
      </c>
      <c r="N353" s="23">
        <v>7.5725000351667404</v>
      </c>
      <c r="O353" s="8">
        <v>7.6112499460577965</v>
      </c>
      <c r="P353" s="11">
        <v>7.7399998903274536</v>
      </c>
      <c r="Q353" s="23">
        <v>2.1215895953757</v>
      </c>
      <c r="R353" s="8">
        <v>4.4602799377915998</v>
      </c>
      <c r="S353" s="11">
        <v>5.9894867807154002</v>
      </c>
      <c r="T353" s="69">
        <f t="shared" si="39"/>
        <v>72</v>
      </c>
      <c r="U353" s="23">
        <f t="shared" si="40"/>
        <v>6.8328168542724282E-3</v>
      </c>
      <c r="V353" s="8">
        <f t="shared" si="41"/>
        <v>1.4167714663276732E-2</v>
      </c>
      <c r="W353" s="11">
        <f t="shared" si="42"/>
        <v>1.8988925076328298E-2</v>
      </c>
      <c r="X353" s="23">
        <f t="shared" si="44"/>
        <v>0.24869618193384349</v>
      </c>
      <c r="Y353" s="23">
        <f t="shared" si="44"/>
        <v>0.51566676213220952</v>
      </c>
      <c r="Z353" s="23">
        <f t="shared" si="44"/>
        <v>0.69114587237294289</v>
      </c>
    </row>
    <row r="354" spans="1:26" x14ac:dyDescent="0.3">
      <c r="A354" s="69" t="s">
        <v>543</v>
      </c>
      <c r="B354" s="76" t="s">
        <v>255</v>
      </c>
      <c r="C354" s="76">
        <v>0</v>
      </c>
      <c r="D354" s="11" t="s">
        <v>256</v>
      </c>
      <c r="E354" s="23" t="s">
        <v>82</v>
      </c>
      <c r="F354" s="8">
        <v>5</v>
      </c>
      <c r="G354" s="11" t="s">
        <v>642</v>
      </c>
      <c r="H354" s="23">
        <v>4.3704686686396599</v>
      </c>
      <c r="I354" s="8">
        <v>5.0112500786781311</v>
      </c>
      <c r="J354" s="11">
        <v>5.0174999982118607</v>
      </c>
      <c r="K354" s="23">
        <v>11.057499796152115</v>
      </c>
      <c r="L354" s="8">
        <v>10.73249988257885</v>
      </c>
      <c r="M354" s="11">
        <v>11.07999999076128</v>
      </c>
      <c r="N354" s="23">
        <v>15.2537502348423</v>
      </c>
      <c r="O354" s="8">
        <v>13.25874999165535</v>
      </c>
      <c r="P354" s="11">
        <v>14.865000173449516</v>
      </c>
      <c r="Q354" s="23">
        <v>25.827658959537601</v>
      </c>
      <c r="R354" s="8">
        <v>22.8881804043546</v>
      </c>
      <c r="S354" s="11">
        <v>25.1245723172628</v>
      </c>
      <c r="T354" s="69">
        <f t="shared" si="39"/>
        <v>72</v>
      </c>
      <c r="U354" s="23">
        <f t="shared" si="40"/>
        <v>4.8661653922068754E-2</v>
      </c>
      <c r="V354" s="8">
        <f t="shared" si="41"/>
        <v>4.4429265965462199E-2</v>
      </c>
      <c r="W354" s="11">
        <f t="shared" si="42"/>
        <v>4.7240847507167866E-2</v>
      </c>
      <c r="X354" s="23">
        <f t="shared" si="44"/>
        <v>1.7711535074202103</v>
      </c>
      <c r="Y354" s="23">
        <f t="shared" si="44"/>
        <v>1.6171059531362586</v>
      </c>
      <c r="Z354" s="23">
        <f t="shared" si="44"/>
        <v>1.7194399699159786</v>
      </c>
    </row>
    <row r="355" spans="1:26" x14ac:dyDescent="0.3">
      <c r="A355" s="69" t="s">
        <v>543</v>
      </c>
      <c r="B355" s="76" t="s">
        <v>258</v>
      </c>
      <c r="C355" s="76" t="s">
        <v>259</v>
      </c>
      <c r="D355" s="11" t="s">
        <v>260</v>
      </c>
      <c r="E355" s="23" t="s">
        <v>82</v>
      </c>
      <c r="F355" s="8">
        <v>5</v>
      </c>
      <c r="G355" s="61" t="s">
        <v>643</v>
      </c>
      <c r="H355" s="23">
        <v>3.583437530323863</v>
      </c>
      <c r="I355" s="8">
        <v>3.2475000247359276</v>
      </c>
      <c r="J355" s="11">
        <v>3.2025001011788845</v>
      </c>
      <c r="K355" s="23">
        <v>7.2112500667572021</v>
      </c>
      <c r="L355" s="8">
        <v>6.9174999371170998</v>
      </c>
      <c r="M355" s="11">
        <v>7.3900001123547554</v>
      </c>
      <c r="N355" s="23">
        <v>10.497500002384186</v>
      </c>
      <c r="O355" s="8">
        <v>10.169999860227108</v>
      </c>
      <c r="P355" s="11">
        <v>10.499999858438969</v>
      </c>
      <c r="Q355" s="23">
        <v>10.465491329479768</v>
      </c>
      <c r="R355" s="8">
        <v>12.91592485549133</v>
      </c>
      <c r="S355" s="11">
        <v>5.6120684292379481</v>
      </c>
      <c r="T355" s="69">
        <f t="shared" si="39"/>
        <v>72</v>
      </c>
      <c r="U355" s="23">
        <f t="shared" si="40"/>
        <v>3.023485073264244E-2</v>
      </c>
      <c r="V355" s="8">
        <f t="shared" si="41"/>
        <v>3.8898701882009286E-2</v>
      </c>
      <c r="W355" s="11">
        <f t="shared" si="42"/>
        <v>1.5821121853614655E-2</v>
      </c>
      <c r="X355" s="23">
        <f t="shared" si="44"/>
        <v>1.1004673619850029</v>
      </c>
      <c r="Y355" s="23">
        <f t="shared" si="44"/>
        <v>1.4158082744731526</v>
      </c>
      <c r="Z355" s="23">
        <f t="shared" si="44"/>
        <v>0.57584634314379368</v>
      </c>
    </row>
    <row r="356" spans="1:26" x14ac:dyDescent="0.3">
      <c r="A356" s="69" t="s">
        <v>543</v>
      </c>
      <c r="B356" s="76" t="s">
        <v>262</v>
      </c>
      <c r="C356" s="76" t="s">
        <v>263</v>
      </c>
      <c r="D356" s="11" t="s">
        <v>264</v>
      </c>
      <c r="E356" s="23" t="s">
        <v>82</v>
      </c>
      <c r="F356" s="8">
        <v>5</v>
      </c>
      <c r="G356" s="11" t="s">
        <v>644</v>
      </c>
      <c r="H356" s="23">
        <v>4.7424999997019768</v>
      </c>
      <c r="I356" s="8">
        <v>4.7887499444186687</v>
      </c>
      <c r="J356" s="11">
        <v>4.7575000673532486</v>
      </c>
      <c r="K356" s="23">
        <v>11.440000124275684</v>
      </c>
      <c r="L356" s="8">
        <v>11.19375005364418</v>
      </c>
      <c r="M356" s="11">
        <v>11.230000108480453</v>
      </c>
      <c r="N356" s="23">
        <v>14.808750152587891</v>
      </c>
      <c r="O356" s="8">
        <v>15.113749727606773</v>
      </c>
      <c r="P356" s="11">
        <v>14.970000088214874</v>
      </c>
      <c r="Q356" s="23">
        <v>10.113497109826588</v>
      </c>
      <c r="R356" s="8">
        <v>11.44150289017341</v>
      </c>
      <c r="S356" s="11">
        <v>14.292919075144509</v>
      </c>
      <c r="T356" s="69">
        <f t="shared" si="39"/>
        <v>72</v>
      </c>
      <c r="U356" s="23">
        <f t="shared" si="40"/>
        <v>1.8417644594917411E-2</v>
      </c>
      <c r="V356" s="8">
        <f t="shared" si="41"/>
        <v>2.129444041567451E-2</v>
      </c>
      <c r="W356" s="11">
        <f t="shared" si="42"/>
        <v>2.6515507081249307E-2</v>
      </c>
      <c r="X356" s="23">
        <f t="shared" si="44"/>
        <v>0.6703527971932125</v>
      </c>
      <c r="Y356" s="23">
        <f t="shared" si="44"/>
        <v>0.77506043857806428</v>
      </c>
      <c r="Z356" s="23">
        <f t="shared" si="44"/>
        <v>0.96509324247776396</v>
      </c>
    </row>
    <row r="357" spans="1:26" x14ac:dyDescent="0.3">
      <c r="A357" s="69" t="s">
        <v>543</v>
      </c>
      <c r="B357" s="23" t="s">
        <v>266</v>
      </c>
      <c r="C357" s="8" t="s">
        <v>267</v>
      </c>
      <c r="D357" s="11" t="s">
        <v>268</v>
      </c>
      <c r="E357" s="23" t="s">
        <v>82</v>
      </c>
      <c r="F357" s="8">
        <v>5</v>
      </c>
      <c r="G357" s="61" t="s">
        <v>645</v>
      </c>
      <c r="H357" s="23">
        <v>3.9725000038743019</v>
      </c>
      <c r="I357" s="8">
        <v>3.9612499997019768</v>
      </c>
      <c r="J357" s="11">
        <v>3.8800000213086605</v>
      </c>
      <c r="K357" s="23">
        <v>8.7687501683831215</v>
      </c>
      <c r="L357" s="8">
        <v>8.6149999871850014</v>
      </c>
      <c r="M357" s="11">
        <v>8.905000239610672</v>
      </c>
      <c r="N357" s="23">
        <v>12.812500074505806</v>
      </c>
      <c r="O357" s="8">
        <v>12.243750132620335</v>
      </c>
      <c r="P357" s="11">
        <v>12.754999846220016</v>
      </c>
      <c r="Q357" s="23">
        <v>38.376358381502797</v>
      </c>
      <c r="R357" s="8">
        <v>38.760433526011496</v>
      </c>
      <c r="S357" s="11">
        <v>40.489826589595403</v>
      </c>
      <c r="T357" s="69">
        <f t="shared" si="39"/>
        <v>72</v>
      </c>
      <c r="U357" s="23">
        <f t="shared" si="40"/>
        <v>9.1176901032491195E-2</v>
      </c>
      <c r="V357" s="8">
        <f t="shared" si="41"/>
        <v>9.3732911548821032E-2</v>
      </c>
      <c r="W357" s="11">
        <f t="shared" si="42"/>
        <v>9.4726337030035135E-2</v>
      </c>
      <c r="X357" s="23">
        <f t="shared" si="44"/>
        <v>3.3185943148998667</v>
      </c>
      <c r="Y357" s="23">
        <f t="shared" si="44"/>
        <v>3.4116262327678997</v>
      </c>
      <c r="Z357" s="23">
        <f t="shared" si="44"/>
        <v>3.4477842521445283</v>
      </c>
    </row>
    <row r="358" spans="1:26" x14ac:dyDescent="0.3">
      <c r="A358" s="69" t="s">
        <v>543</v>
      </c>
      <c r="B358" s="76" t="s">
        <v>270</v>
      </c>
      <c r="C358" s="76" t="s">
        <v>271</v>
      </c>
      <c r="D358" s="11" t="s">
        <v>272</v>
      </c>
      <c r="E358" s="23" t="s">
        <v>82</v>
      </c>
      <c r="F358" s="8">
        <v>5</v>
      </c>
      <c r="G358" s="11" t="s">
        <v>646</v>
      </c>
      <c r="H358" s="23">
        <v>3.8325000554323196</v>
      </c>
      <c r="I358" s="8">
        <v>3.8987499661743641</v>
      </c>
      <c r="J358" s="11">
        <v>3.9137500338256359</v>
      </c>
      <c r="K358" s="23">
        <v>8.7537501007318497</v>
      </c>
      <c r="L358" s="8">
        <v>8.4625000134110451</v>
      </c>
      <c r="M358" s="11">
        <v>8.5637500509619713</v>
      </c>
      <c r="N358" s="23">
        <v>12.446250207722187</v>
      </c>
      <c r="O358" s="8">
        <v>11.847500130534172</v>
      </c>
      <c r="P358" s="11">
        <v>12.263750098645687</v>
      </c>
      <c r="Q358" s="23">
        <v>48.971560693641599</v>
      </c>
      <c r="R358" s="8">
        <v>47.783815028901699</v>
      </c>
      <c r="S358" s="11">
        <v>48.918381502890099</v>
      </c>
      <c r="T358" s="69">
        <f t="shared" si="39"/>
        <v>72</v>
      </c>
      <c r="U358" s="23">
        <f t="shared" si="40"/>
        <v>0.11654900311797839</v>
      </c>
      <c r="V358" s="8">
        <f t="shared" si="41"/>
        <v>0.11763617664494275</v>
      </c>
      <c r="W358" s="11">
        <f t="shared" si="42"/>
        <v>0.11900545227407673</v>
      </c>
      <c r="X358" s="23">
        <f t="shared" si="44"/>
        <v>4.2420706864860431</v>
      </c>
      <c r="Y358" s="23">
        <f t="shared" si="44"/>
        <v>4.2816408829397243</v>
      </c>
      <c r="Z358" s="23">
        <f t="shared" si="44"/>
        <v>4.3314788382432905</v>
      </c>
    </row>
    <row r="359" spans="1:26" x14ac:dyDescent="0.3">
      <c r="A359" s="69" t="s">
        <v>543</v>
      </c>
      <c r="B359" s="11" t="s">
        <v>86</v>
      </c>
      <c r="C359" s="76" t="s">
        <v>86</v>
      </c>
      <c r="D359" s="11" t="s">
        <v>86</v>
      </c>
      <c r="E359" s="23" t="s">
        <v>87</v>
      </c>
      <c r="F359" s="8">
        <v>5</v>
      </c>
      <c r="G359" s="11" t="s">
        <v>647</v>
      </c>
      <c r="H359" s="23">
        <v>4.3374999426305294</v>
      </c>
      <c r="I359" s="8">
        <v>4.5037500560283661</v>
      </c>
      <c r="J359" s="11">
        <v>4.6049999073147774</v>
      </c>
      <c r="K359" s="23">
        <v>10.214999876916409</v>
      </c>
      <c r="L359" s="8">
        <v>10.240000113844872</v>
      </c>
      <c r="M359" s="11">
        <v>10.661250166594982</v>
      </c>
      <c r="N359" s="23">
        <v>13.757500052452087</v>
      </c>
      <c r="O359" s="8">
        <v>13.527499884366989</v>
      </c>
      <c r="P359" s="11">
        <v>14.16500024497509</v>
      </c>
      <c r="Q359" s="23">
        <v>11.093728323699423</v>
      </c>
      <c r="R359" s="8">
        <v>12.033988439306357</v>
      </c>
      <c r="S359" s="11">
        <v>18.072080924855491</v>
      </c>
      <c r="T359" s="69">
        <f t="shared" si="39"/>
        <v>72</v>
      </c>
      <c r="U359" s="23">
        <f t="shared" si="40"/>
        <v>2.2625486330092748E-2</v>
      </c>
      <c r="V359" s="8">
        <f t="shared" si="41"/>
        <v>2.4483211884595801E-2</v>
      </c>
      <c r="W359" s="11">
        <f t="shared" si="42"/>
        <v>3.5314965885913312E-2</v>
      </c>
      <c r="X359" s="23">
        <f t="shared" si="44"/>
        <v>0.82350693494324534</v>
      </c>
      <c r="Y359" s="23">
        <f t="shared" si="44"/>
        <v>0.89112315565271094</v>
      </c>
      <c r="Z359" s="23">
        <f t="shared" si="44"/>
        <v>1.2853699094040436</v>
      </c>
    </row>
    <row r="360" spans="1:26" x14ac:dyDescent="0.3">
      <c r="A360" s="69" t="s">
        <v>543</v>
      </c>
      <c r="B360" s="76" t="s">
        <v>274</v>
      </c>
      <c r="C360" s="76" t="s">
        <v>275</v>
      </c>
      <c r="D360" s="11" t="s">
        <v>276</v>
      </c>
      <c r="E360" s="23" t="s">
        <v>30</v>
      </c>
      <c r="F360" s="8">
        <v>1</v>
      </c>
      <c r="G360" s="11" t="s">
        <v>648</v>
      </c>
      <c r="H360" s="23">
        <v>4.7339062206447124</v>
      </c>
      <c r="I360" s="8">
        <v>4.8262500204145908</v>
      </c>
      <c r="J360" s="11">
        <v>4.8849999904632568</v>
      </c>
      <c r="K360" s="23">
        <v>7.655000127851963</v>
      </c>
      <c r="L360" s="8">
        <v>7.4599999934434891</v>
      </c>
      <c r="M360" s="11">
        <v>7.3075000196695328</v>
      </c>
      <c r="N360" s="23" t="s">
        <v>32</v>
      </c>
      <c r="O360" s="8" t="s">
        <v>32</v>
      </c>
      <c r="P360" s="11" t="s">
        <v>32</v>
      </c>
      <c r="Q360" s="71">
        <v>22.329650000000001</v>
      </c>
      <c r="R360" s="12">
        <v>16.048317000000001</v>
      </c>
      <c r="S360" s="72">
        <v>14.83615</v>
      </c>
      <c r="T360" s="69">
        <f t="shared" si="39"/>
        <v>48</v>
      </c>
      <c r="U360" s="23">
        <f t="shared" si="40"/>
        <v>0.12154174628268877</v>
      </c>
      <c r="V360" s="8">
        <f t="shared" si="41"/>
        <v>8.9635372062693744E-2</v>
      </c>
      <c r="W360" s="11">
        <f t="shared" si="42"/>
        <v>8.4594309271671039E-2</v>
      </c>
      <c r="X360" s="23">
        <f>U360/AVERAGE($U$371:$W$371)</f>
        <v>2.9506704088109004</v>
      </c>
      <c r="Y360" s="23">
        <f t="shared" ref="Y360:Z371" si="45">V360/AVERAGE($U$371:$W$371)</f>
        <v>2.1760789853470808</v>
      </c>
      <c r="Z360" s="23">
        <f t="shared" si="45"/>
        <v>2.0536970444801756</v>
      </c>
    </row>
    <row r="361" spans="1:26" x14ac:dyDescent="0.3">
      <c r="A361" s="69" t="s">
        <v>543</v>
      </c>
      <c r="B361" s="11" t="s">
        <v>278</v>
      </c>
      <c r="C361" s="76" t="s">
        <v>279</v>
      </c>
      <c r="D361" s="11" t="s">
        <v>278</v>
      </c>
      <c r="E361" s="23" t="s">
        <v>30</v>
      </c>
      <c r="F361" s="8">
        <v>1</v>
      </c>
      <c r="G361" s="11" t="s">
        <v>649</v>
      </c>
      <c r="H361" s="23">
        <v>4.7831250354647636</v>
      </c>
      <c r="I361" s="8">
        <v>4.5712499879300594</v>
      </c>
      <c r="J361" s="11">
        <v>4.6299999579787254</v>
      </c>
      <c r="K361" s="23">
        <v>11.528749763965607</v>
      </c>
      <c r="L361" s="8">
        <v>10.923750139772892</v>
      </c>
      <c r="M361" s="11">
        <v>11.171249859035015</v>
      </c>
      <c r="N361" s="23" t="s">
        <v>32</v>
      </c>
      <c r="O361" s="8" t="s">
        <v>32</v>
      </c>
      <c r="P361" s="11" t="s">
        <v>32</v>
      </c>
      <c r="Q361" s="71">
        <v>18.59535</v>
      </c>
      <c r="R361" s="12">
        <v>17.090016670000001</v>
      </c>
      <c r="S361" s="72">
        <v>16.169466669999998</v>
      </c>
      <c r="T361" s="69">
        <f t="shared" si="39"/>
        <v>48</v>
      </c>
      <c r="U361" s="23">
        <f t="shared" si="40"/>
        <v>6.7206441796641592E-2</v>
      </c>
      <c r="V361" s="8">
        <f t="shared" si="41"/>
        <v>6.5186773663377759E-2</v>
      </c>
      <c r="W361" s="11">
        <f t="shared" si="42"/>
        <v>6.0309077893533382E-2</v>
      </c>
      <c r="X361" s="23">
        <f t="shared" ref="X361:X371" si="46">U361/AVERAGE($U$371:$W$371)</f>
        <v>1.6315715805958182</v>
      </c>
      <c r="Y361" s="23">
        <f t="shared" si="45"/>
        <v>1.5825400734906028</v>
      </c>
      <c r="Z361" s="23">
        <f t="shared" si="45"/>
        <v>1.4641241957247275</v>
      </c>
    </row>
    <row r="362" spans="1:26" x14ac:dyDescent="0.3">
      <c r="A362" s="69" t="s">
        <v>543</v>
      </c>
      <c r="B362" s="76" t="s">
        <v>281</v>
      </c>
      <c r="C362" s="76" t="s">
        <v>282</v>
      </c>
      <c r="D362" s="11" t="s">
        <v>283</v>
      </c>
      <c r="E362" s="23" t="s">
        <v>30</v>
      </c>
      <c r="F362" s="8">
        <v>1</v>
      </c>
      <c r="G362" s="11" t="s">
        <v>650</v>
      </c>
      <c r="H362" s="23">
        <v>4.5489062555134296</v>
      </c>
      <c r="I362" s="8">
        <v>5.1324999891221523</v>
      </c>
      <c r="J362" s="11">
        <v>5.038749985396862</v>
      </c>
      <c r="K362" s="23">
        <v>9.5712499693036079</v>
      </c>
      <c r="L362" s="8">
        <v>11.13124992698431</v>
      </c>
      <c r="M362" s="11">
        <v>11.791250109672546</v>
      </c>
      <c r="N362" s="23" t="s">
        <v>32</v>
      </c>
      <c r="O362" s="8" t="s">
        <v>32</v>
      </c>
      <c r="P362" s="11" t="s">
        <v>32</v>
      </c>
      <c r="Q362" s="71">
        <v>4.9256167</v>
      </c>
      <c r="R362" s="12">
        <v>3.6966332999999998</v>
      </c>
      <c r="S362" s="72">
        <v>3.2949166999999999</v>
      </c>
      <c r="T362" s="69">
        <f t="shared" si="39"/>
        <v>48</v>
      </c>
      <c r="U362" s="23">
        <f t="shared" si="40"/>
        <v>2.1442761376505897E-2</v>
      </c>
      <c r="V362" s="8">
        <f t="shared" si="41"/>
        <v>1.3837294868980539E-2</v>
      </c>
      <c r="W362" s="11">
        <f t="shared" si="42"/>
        <v>1.1643226507485721E-2</v>
      </c>
      <c r="X362" s="23">
        <f t="shared" si="46"/>
        <v>0.52056617098203462</v>
      </c>
      <c r="Y362" s="23">
        <f t="shared" si="45"/>
        <v>0.33592817082723708</v>
      </c>
      <c r="Z362" s="23">
        <f t="shared" si="45"/>
        <v>0.28266274732317259</v>
      </c>
    </row>
    <row r="363" spans="1:26" x14ac:dyDescent="0.3">
      <c r="A363" s="69" t="s">
        <v>543</v>
      </c>
      <c r="B363" s="76" t="s">
        <v>285</v>
      </c>
      <c r="C363" s="76" t="s">
        <v>286</v>
      </c>
      <c r="D363" s="11" t="s">
        <v>285</v>
      </c>
      <c r="E363" s="23" t="s">
        <v>30</v>
      </c>
      <c r="F363" s="8">
        <v>1</v>
      </c>
      <c r="G363" s="11" t="s">
        <v>651</v>
      </c>
      <c r="H363" s="23">
        <v>4.7562500461935997</v>
      </c>
      <c r="I363" s="8">
        <v>4.4637500308454037</v>
      </c>
      <c r="J363" s="11">
        <v>4.205000028014183</v>
      </c>
      <c r="K363" s="23">
        <v>10.363750159740448</v>
      </c>
      <c r="L363" s="8">
        <v>11.632500216364861</v>
      </c>
      <c r="M363" s="11">
        <v>12.013750150799751</v>
      </c>
      <c r="N363" s="23" t="s">
        <v>32</v>
      </c>
      <c r="O363" s="8" t="s">
        <v>32</v>
      </c>
      <c r="P363" s="11" t="s">
        <v>32</v>
      </c>
      <c r="Q363" s="71">
        <v>6.2631500000000004</v>
      </c>
      <c r="R363" s="12">
        <v>9.7161829999999991</v>
      </c>
      <c r="S363" s="72">
        <v>9.5163170000000008</v>
      </c>
      <c r="T363" s="69">
        <f t="shared" si="39"/>
        <v>48</v>
      </c>
      <c r="U363" s="23">
        <f t="shared" si="40"/>
        <v>2.5180516638377646E-2</v>
      </c>
      <c r="V363" s="8">
        <f t="shared" si="41"/>
        <v>3.4802574752054942E-2</v>
      </c>
      <c r="W363" s="11">
        <f t="shared" si="42"/>
        <v>3.3004948775877251E-2</v>
      </c>
      <c r="X363" s="23">
        <f t="shared" si="46"/>
        <v>0.6113076995834964</v>
      </c>
      <c r="Y363" s="23">
        <f t="shared" si="45"/>
        <v>0.84490251795850801</v>
      </c>
      <c r="Z363" s="23">
        <f t="shared" si="45"/>
        <v>0.80126153092117758</v>
      </c>
    </row>
    <row r="364" spans="1:26" x14ac:dyDescent="0.3">
      <c r="A364" s="69" t="s">
        <v>543</v>
      </c>
      <c r="B364" s="76" t="s">
        <v>288</v>
      </c>
      <c r="C364" s="76" t="s">
        <v>289</v>
      </c>
      <c r="D364" s="11" t="s">
        <v>290</v>
      </c>
      <c r="E364" s="23" t="s">
        <v>30</v>
      </c>
      <c r="F364" s="8">
        <v>1</v>
      </c>
      <c r="G364" s="11" t="s">
        <v>652</v>
      </c>
      <c r="H364" s="23">
        <v>4.2079687118530273</v>
      </c>
      <c r="I364" s="8">
        <v>3.6087499931454659</v>
      </c>
      <c r="J364" s="11">
        <v>3.4387500025331974</v>
      </c>
      <c r="K364" s="23">
        <v>10.801250115036964</v>
      </c>
      <c r="L364" s="8">
        <v>10.153749957680702</v>
      </c>
      <c r="M364" s="11">
        <v>10.933749936521053</v>
      </c>
      <c r="N364" s="23" t="s">
        <v>32</v>
      </c>
      <c r="O364" s="8" t="s">
        <v>32</v>
      </c>
      <c r="P364" s="11" t="s">
        <v>32</v>
      </c>
      <c r="Q364" s="71">
        <v>11.75065</v>
      </c>
      <c r="R364" s="12">
        <v>12.947333</v>
      </c>
      <c r="S364" s="72">
        <v>13.365283</v>
      </c>
      <c r="T364" s="69">
        <f t="shared" si="39"/>
        <v>48</v>
      </c>
      <c r="U364" s="23">
        <f t="shared" si="40"/>
        <v>4.532905093874786E-2</v>
      </c>
      <c r="V364" s="8">
        <f t="shared" si="41"/>
        <v>5.3130342049171199E-2</v>
      </c>
      <c r="W364" s="11">
        <f t="shared" si="42"/>
        <v>5.093282678859759E-2</v>
      </c>
      <c r="X364" s="23">
        <f t="shared" si="46"/>
        <v>1.1004539045650974</v>
      </c>
      <c r="Y364" s="23">
        <f t="shared" si="45"/>
        <v>1.2898459409153624</v>
      </c>
      <c r="Z364" s="23">
        <f t="shared" si="45"/>
        <v>1.2364968370016856</v>
      </c>
    </row>
    <row r="365" spans="1:26" x14ac:dyDescent="0.3">
      <c r="A365" s="69" t="s">
        <v>543</v>
      </c>
      <c r="B365" s="76" t="s">
        <v>292</v>
      </c>
      <c r="C365" s="76" t="s">
        <v>293</v>
      </c>
      <c r="D365" s="11" t="s">
        <v>294</v>
      </c>
      <c r="E365" s="23" t="s">
        <v>30</v>
      </c>
      <c r="F365" s="8">
        <v>1</v>
      </c>
      <c r="G365" s="11" t="s">
        <v>653</v>
      </c>
      <c r="H365" s="23">
        <v>4.7253124415874481</v>
      </c>
      <c r="I365" s="8">
        <v>4.5862500555813313</v>
      </c>
      <c r="J365" s="11">
        <v>4.59624994546175</v>
      </c>
      <c r="K365" s="23">
        <v>7.7674999833106995</v>
      </c>
      <c r="L365" s="8">
        <v>7.5349999591708183</v>
      </c>
      <c r="M365" s="11">
        <v>7.9874999821186066</v>
      </c>
      <c r="N365" s="23" t="s">
        <v>32</v>
      </c>
      <c r="O365" s="8" t="s">
        <v>32</v>
      </c>
      <c r="P365" s="11" t="s">
        <v>32</v>
      </c>
      <c r="Q365" s="71">
        <v>17.251467000000002</v>
      </c>
      <c r="R365" s="12">
        <v>16.405417</v>
      </c>
      <c r="S365" s="72">
        <v>16.979067000000001</v>
      </c>
      <c r="T365" s="69">
        <f t="shared" si="39"/>
        <v>48</v>
      </c>
      <c r="U365" s="23">
        <f t="shared" si="40"/>
        <v>9.2540859548689069E-2</v>
      </c>
      <c r="V365" s="8">
        <f t="shared" si="41"/>
        <v>9.0717856054492688E-2</v>
      </c>
      <c r="W365" s="11">
        <f t="shared" si="42"/>
        <v>8.8571033062131266E-2</v>
      </c>
      <c r="X365" s="23">
        <f t="shared" si="46"/>
        <v>2.2466155393320539</v>
      </c>
      <c r="Y365" s="23">
        <f t="shared" si="45"/>
        <v>2.2023584619903054</v>
      </c>
      <c r="Z365" s="23">
        <f t="shared" si="45"/>
        <v>2.1502400148702319</v>
      </c>
    </row>
    <row r="366" spans="1:26" x14ac:dyDescent="0.3">
      <c r="A366" s="69" t="s">
        <v>543</v>
      </c>
      <c r="B366" s="76" t="s">
        <v>296</v>
      </c>
      <c r="C366" s="76" t="s">
        <v>297</v>
      </c>
      <c r="D366" s="11" t="s">
        <v>298</v>
      </c>
      <c r="E366" s="23" t="s">
        <v>30</v>
      </c>
      <c r="F366" s="8">
        <v>1</v>
      </c>
      <c r="G366" s="11" t="s">
        <v>654</v>
      </c>
      <c r="H366" s="23">
        <v>4.7890624962747097</v>
      </c>
      <c r="I366" s="8">
        <v>5.0099999643862247</v>
      </c>
      <c r="J366" s="11">
        <v>4.7612500376999378</v>
      </c>
      <c r="K366" s="23">
        <v>11.312500014901161</v>
      </c>
      <c r="L366" s="8">
        <v>10.680000111460686</v>
      </c>
      <c r="M366" s="11">
        <v>11.119999922811985</v>
      </c>
      <c r="N366" s="23" t="s">
        <v>32</v>
      </c>
      <c r="O366" s="8" t="s">
        <v>32</v>
      </c>
      <c r="P366" s="11" t="s">
        <v>32</v>
      </c>
      <c r="Q366" s="71">
        <v>4.6311166999999998</v>
      </c>
      <c r="R366" s="12">
        <v>4.9716500000000003</v>
      </c>
      <c r="S366" s="72">
        <v>5.3119832999999996</v>
      </c>
      <c r="T366" s="69">
        <f t="shared" si="39"/>
        <v>48</v>
      </c>
      <c r="U366" s="23">
        <f t="shared" si="40"/>
        <v>1.7057520051196151E-2</v>
      </c>
      <c r="V366" s="8">
        <f t="shared" si="41"/>
        <v>1.9396262281967478E-2</v>
      </c>
      <c r="W366" s="11">
        <f t="shared" si="42"/>
        <v>1.9904014301830156E-2</v>
      </c>
      <c r="X366" s="23">
        <f t="shared" si="46"/>
        <v>0.41410561557754871</v>
      </c>
      <c r="Y366" s="23">
        <f t="shared" si="45"/>
        <v>0.47088328831332577</v>
      </c>
      <c r="Z366" s="23">
        <f t="shared" si="45"/>
        <v>0.4832099900914798</v>
      </c>
    </row>
    <row r="367" spans="1:26" x14ac:dyDescent="0.3">
      <c r="A367" s="69" t="s">
        <v>543</v>
      </c>
      <c r="B367" s="76" t="s">
        <v>300</v>
      </c>
      <c r="C367" s="76" t="s">
        <v>301</v>
      </c>
      <c r="D367" s="11" t="s">
        <v>302</v>
      </c>
      <c r="E367" s="23" t="s">
        <v>30</v>
      </c>
      <c r="F367" s="8">
        <v>1</v>
      </c>
      <c r="G367" s="11" t="s">
        <v>655</v>
      </c>
      <c r="H367" s="23">
        <v>4.4087499380111694</v>
      </c>
      <c r="I367" s="8">
        <v>4.022500105202198</v>
      </c>
      <c r="J367" s="11">
        <v>4.0224999189376831</v>
      </c>
      <c r="K367" s="23">
        <v>10.816249996423721</v>
      </c>
      <c r="L367" s="8">
        <v>11.203749850392342</v>
      </c>
      <c r="M367" s="11">
        <v>10.84624994546175</v>
      </c>
      <c r="N367" s="23" t="s">
        <v>32</v>
      </c>
      <c r="O367" s="8" t="s">
        <v>32</v>
      </c>
      <c r="P367" s="11" t="s">
        <v>32</v>
      </c>
      <c r="Q367" s="71">
        <v>13.745917</v>
      </c>
      <c r="R367" s="12">
        <v>14.310667</v>
      </c>
      <c r="S367" s="72">
        <v>16.913682999999999</v>
      </c>
      <c r="T367" s="69">
        <f t="shared" si="39"/>
        <v>48</v>
      </c>
      <c r="U367" s="23">
        <f t="shared" si="40"/>
        <v>5.2952413438672297E-2</v>
      </c>
      <c r="V367" s="8">
        <f t="shared" si="41"/>
        <v>5.3221269631058908E-2</v>
      </c>
      <c r="W367" s="11">
        <f t="shared" si="42"/>
        <v>6.4975156870835354E-2</v>
      </c>
      <c r="X367" s="23">
        <f t="shared" si="46"/>
        <v>1.285526365938557</v>
      </c>
      <c r="Y367" s="23">
        <f t="shared" si="45"/>
        <v>1.2920533908938807</v>
      </c>
      <c r="Z367" s="23">
        <f t="shared" si="45"/>
        <v>1.5774026501207752</v>
      </c>
    </row>
    <row r="368" spans="1:26" x14ac:dyDescent="0.3">
      <c r="A368" s="69" t="s">
        <v>543</v>
      </c>
      <c r="B368" s="76" t="s">
        <v>304</v>
      </c>
      <c r="C368" s="76" t="s">
        <v>305</v>
      </c>
      <c r="D368" s="11" t="s">
        <v>306</v>
      </c>
      <c r="E368" s="23" t="s">
        <v>30</v>
      </c>
      <c r="F368" s="8">
        <v>1</v>
      </c>
      <c r="G368" s="11" t="s">
        <v>656</v>
      </c>
      <c r="H368" s="23">
        <v>4.6498437412083149</v>
      </c>
      <c r="I368" s="8">
        <v>5.7562500238418579</v>
      </c>
      <c r="J368" s="11">
        <v>5.4137500002980232</v>
      </c>
      <c r="K368" s="23">
        <v>11.024999991059303</v>
      </c>
      <c r="L368" s="8">
        <v>10.838750191032887</v>
      </c>
      <c r="M368" s="11">
        <v>11.515000090003014</v>
      </c>
      <c r="N368" s="23" t="s">
        <v>32</v>
      </c>
      <c r="O368" s="8" t="s">
        <v>32</v>
      </c>
      <c r="P368" s="11" t="s">
        <v>32</v>
      </c>
      <c r="Q368" s="71">
        <v>5.0552666999999998</v>
      </c>
      <c r="R368" s="12">
        <v>5.2416</v>
      </c>
      <c r="S368" s="72">
        <v>4.1773667000000003</v>
      </c>
      <c r="T368" s="69">
        <f t="shared" si="39"/>
        <v>48</v>
      </c>
      <c r="U368" s="23">
        <f t="shared" si="40"/>
        <v>1.9105316342024021E-2</v>
      </c>
      <c r="V368" s="8">
        <f t="shared" si="41"/>
        <v>2.014992468233899E-2</v>
      </c>
      <c r="W368" s="11">
        <f t="shared" si="42"/>
        <v>1.5115670384097044E-2</v>
      </c>
      <c r="X368" s="23">
        <f t="shared" si="46"/>
        <v>0.46381999029588478</v>
      </c>
      <c r="Y368" s="23">
        <f t="shared" si="45"/>
        <v>0.48917995930106484</v>
      </c>
      <c r="Z368" s="23">
        <f t="shared" si="45"/>
        <v>0.36696330829374491</v>
      </c>
    </row>
    <row r="369" spans="1:26" x14ac:dyDescent="0.3">
      <c r="A369" s="69" t="s">
        <v>543</v>
      </c>
      <c r="B369" s="76" t="s">
        <v>657</v>
      </c>
      <c r="C369" s="76" t="s">
        <v>658</v>
      </c>
      <c r="D369" s="11" t="s">
        <v>659</v>
      </c>
      <c r="E369" s="23" t="s">
        <v>30</v>
      </c>
      <c r="F369" s="8">
        <v>1</v>
      </c>
      <c r="G369" s="11" t="s">
        <v>660</v>
      </c>
      <c r="H369" s="23">
        <v>4.4901562854647636</v>
      </c>
      <c r="I369" s="8">
        <v>4.0387501008808613</v>
      </c>
      <c r="J369" s="11">
        <v>3.8000000640749931</v>
      </c>
      <c r="K369" s="23">
        <v>9.9062500521540642</v>
      </c>
      <c r="L369" s="8">
        <v>9.8587499931454659</v>
      </c>
      <c r="M369" s="11">
        <v>9.8137499764561653</v>
      </c>
      <c r="N369" s="23" t="s">
        <v>32</v>
      </c>
      <c r="O369" s="8" t="s">
        <v>32</v>
      </c>
      <c r="P369" s="11" t="s">
        <v>32</v>
      </c>
      <c r="Q369" s="71">
        <v>4.7284667000000002</v>
      </c>
      <c r="R369" s="12">
        <v>11.219283000000001</v>
      </c>
      <c r="S369" s="72">
        <v>10.798733</v>
      </c>
      <c r="T369" s="69">
        <f t="shared" si="39"/>
        <v>48</v>
      </c>
      <c r="U369" s="23">
        <f t="shared" si="40"/>
        <v>1.9888398212852747E-2</v>
      </c>
      <c r="V369" s="8">
        <f t="shared" si="41"/>
        <v>4.7416774471917833E-2</v>
      </c>
      <c r="W369" s="11">
        <f t="shared" si="42"/>
        <v>4.5848652086387609E-2</v>
      </c>
      <c r="X369" s="23">
        <f t="shared" si="46"/>
        <v>0.48283087811509084</v>
      </c>
      <c r="Y369" s="23">
        <f t="shared" si="45"/>
        <v>1.1511375934169514</v>
      </c>
      <c r="Z369" s="23">
        <f t="shared" si="45"/>
        <v>1.1130682677581263</v>
      </c>
    </row>
    <row r="370" spans="1:26" x14ac:dyDescent="0.3">
      <c r="A370" s="69" t="s">
        <v>543</v>
      </c>
      <c r="B370" s="76" t="s">
        <v>661</v>
      </c>
      <c r="C370" s="76" t="s">
        <v>662</v>
      </c>
      <c r="D370" s="11" t="s">
        <v>663</v>
      </c>
      <c r="E370" s="23" t="s">
        <v>30</v>
      </c>
      <c r="F370" s="8">
        <v>1</v>
      </c>
      <c r="G370" s="11" t="s">
        <v>664</v>
      </c>
      <c r="H370" s="23">
        <v>5.0632813014090061</v>
      </c>
      <c r="I370" s="8">
        <v>5.5587500333786011</v>
      </c>
      <c r="J370" s="11">
        <v>5.0774999894201756</v>
      </c>
      <c r="K370" s="23">
        <v>7.5162500143051147</v>
      </c>
      <c r="L370" s="8">
        <v>7.2187500074505806</v>
      </c>
      <c r="M370" s="11">
        <v>7.6625000685453415</v>
      </c>
      <c r="N370" s="23" t="s">
        <v>32</v>
      </c>
      <c r="O370" s="8" t="s">
        <v>32</v>
      </c>
      <c r="P370" s="11" t="s">
        <v>32</v>
      </c>
      <c r="Q370" s="71">
        <v>3.8183666999999999</v>
      </c>
      <c r="R370" s="12">
        <v>2.3488167</v>
      </c>
      <c r="S370" s="72">
        <v>3.6170333000000001</v>
      </c>
      <c r="T370" s="69">
        <f t="shared" si="39"/>
        <v>48</v>
      </c>
      <c r="U370" s="23">
        <f t="shared" si="40"/>
        <v>2.1167285840305944E-2</v>
      </c>
      <c r="V370" s="8">
        <f t="shared" si="41"/>
        <v>1.355738353579077E-2</v>
      </c>
      <c r="W370" s="11">
        <f t="shared" si="42"/>
        <v>1.9668478888763555E-2</v>
      </c>
      <c r="X370" s="23">
        <f t="shared" si="46"/>
        <v>0.51387844813883987</v>
      </c>
      <c r="Y370" s="23">
        <f t="shared" si="45"/>
        <v>0.32913276008817405</v>
      </c>
      <c r="Z370" s="23">
        <f t="shared" si="45"/>
        <v>0.47749189408892417</v>
      </c>
    </row>
    <row r="371" spans="1:26" ht="15" thickBot="1" x14ac:dyDescent="0.35">
      <c r="A371" s="70" t="s">
        <v>543</v>
      </c>
      <c r="B371" s="24" t="s">
        <v>86</v>
      </c>
      <c r="C371" s="9" t="s">
        <v>86</v>
      </c>
      <c r="D371" s="25" t="s">
        <v>86</v>
      </c>
      <c r="E371" s="24" t="s">
        <v>87</v>
      </c>
      <c r="F371" s="9">
        <v>1</v>
      </c>
      <c r="G371" s="25" t="s">
        <v>559</v>
      </c>
      <c r="H371" s="24">
        <v>4.639374976977706</v>
      </c>
      <c r="I371" s="9">
        <v>4.7512499615550041</v>
      </c>
      <c r="J371" s="25">
        <v>4.3150000274181366</v>
      </c>
      <c r="K371" s="24">
        <v>10.930000059306622</v>
      </c>
      <c r="L371" s="9">
        <v>10.320000164210796</v>
      </c>
      <c r="M371" s="25">
        <v>10.738749802112579</v>
      </c>
      <c r="N371" s="24" t="s">
        <v>32</v>
      </c>
      <c r="O371" s="9" t="s">
        <v>32</v>
      </c>
      <c r="P371" s="25" t="s">
        <v>32</v>
      </c>
      <c r="Q371" s="73">
        <v>11.163083</v>
      </c>
      <c r="R371" s="74">
        <v>10.925267</v>
      </c>
      <c r="S371" s="75">
        <v>9.5123166999999995</v>
      </c>
      <c r="T371" s="70">
        <f t="shared" si="39"/>
        <v>48</v>
      </c>
      <c r="U371" s="24">
        <f t="shared" si="40"/>
        <v>4.2555210961530428E-2</v>
      </c>
      <c r="V371" s="9">
        <f t="shared" si="41"/>
        <v>4.411041192731855E-2</v>
      </c>
      <c r="W371" s="25">
        <f t="shared" si="42"/>
        <v>3.6908069977447042E-2</v>
      </c>
      <c r="X371" s="23">
        <f t="shared" si="46"/>
        <v>1.0331133587042887</v>
      </c>
      <c r="Y371" s="23">
        <f t="shared" si="45"/>
        <v>1.07086899090355</v>
      </c>
      <c r="Z371" s="23">
        <f t="shared" si="45"/>
        <v>0.89601765039216119</v>
      </c>
    </row>
  </sheetData>
  <sortState ref="Z2:Z82">
    <sortCondition ref="Z2:Z82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FB827-D3F9-44A7-8AF9-3E685C938BBA}">
  <dimension ref="A2:Z120"/>
  <sheetViews>
    <sheetView topLeftCell="A8" workbookViewId="0">
      <selection activeCell="X26" sqref="X26"/>
    </sheetView>
  </sheetViews>
  <sheetFormatPr defaultRowHeight="14.4" x14ac:dyDescent="0.3"/>
  <sheetData>
    <row r="2" spans="1:26" x14ac:dyDescent="0.3">
      <c r="A2" s="68" t="s">
        <v>543</v>
      </c>
      <c r="B2" s="22" t="s">
        <v>27</v>
      </c>
      <c r="C2" s="13" t="s">
        <v>28</v>
      </c>
      <c r="D2" s="21" t="s">
        <v>29</v>
      </c>
      <c r="E2" s="21" t="s">
        <v>30</v>
      </c>
      <c r="F2" s="13">
        <v>2</v>
      </c>
      <c r="G2" s="52" t="s">
        <v>544</v>
      </c>
      <c r="H2" s="27">
        <v>6.393750011920929</v>
      </c>
      <c r="I2" s="14">
        <v>7.2012500837445259</v>
      </c>
      <c r="J2" s="28">
        <v>4.3562500737607479</v>
      </c>
      <c r="K2" s="27">
        <v>12.654999643564224</v>
      </c>
      <c r="L2" s="14">
        <v>11.062500067055225</v>
      </c>
      <c r="M2" s="28">
        <v>10.500000044703484</v>
      </c>
      <c r="N2" s="21" t="s">
        <v>32</v>
      </c>
      <c r="O2" s="13" t="s">
        <v>32</v>
      </c>
      <c r="P2" s="22" t="s">
        <v>32</v>
      </c>
      <c r="Q2" s="44">
        <v>48.380815508021392</v>
      </c>
      <c r="R2" s="14">
        <v>42.231283422459903</v>
      </c>
      <c r="S2" s="38">
        <v>45.787500000000001</v>
      </c>
      <c r="T2" s="68">
        <f>IF(N2="NA",48,72)</f>
        <v>48</v>
      </c>
      <c r="U2" s="21">
        <f>Q2/K2/(T2-24)</f>
        <v>0.15929414220563856</v>
      </c>
      <c r="V2" s="13">
        <f>R2/L2/(T2-24)</f>
        <v>0.15906321343305249</v>
      </c>
      <c r="W2" s="22">
        <f>S2/M2/(T2-24)</f>
        <v>0.18169642779786066</v>
      </c>
      <c r="X2" s="21">
        <f>U2/U$17</f>
        <v>2.8868747013697376</v>
      </c>
      <c r="Y2" s="13">
        <f>V2/V$17</f>
        <v>2.4390928897612945</v>
      </c>
      <c r="Z2" s="22">
        <f>W2/W$17</f>
        <v>3.5782883446672309</v>
      </c>
    </row>
    <row r="3" spans="1:26" x14ac:dyDescent="0.3">
      <c r="A3" s="69" t="s">
        <v>543</v>
      </c>
      <c r="B3" s="11" t="s">
        <v>33</v>
      </c>
      <c r="C3" s="8" t="s">
        <v>34</v>
      </c>
      <c r="D3" s="23" t="s">
        <v>35</v>
      </c>
      <c r="E3" s="23" t="s">
        <v>30</v>
      </c>
      <c r="F3" s="8">
        <v>2</v>
      </c>
      <c r="G3" s="53" t="s">
        <v>545</v>
      </c>
      <c r="H3" s="29">
        <v>6.3287499360740185</v>
      </c>
      <c r="I3" s="1">
        <v>5.5900000967085361</v>
      </c>
      <c r="J3" s="30">
        <v>4.3562499806284904</v>
      </c>
      <c r="K3" s="29">
        <v>11.431249789893627</v>
      </c>
      <c r="L3" s="1">
        <v>11.27374991774559</v>
      </c>
      <c r="M3" s="30">
        <v>11.079999804496765</v>
      </c>
      <c r="N3" s="23" t="s">
        <v>32</v>
      </c>
      <c r="O3" s="8" t="s">
        <v>32</v>
      </c>
      <c r="P3" s="11" t="s">
        <v>32</v>
      </c>
      <c r="Q3" s="45">
        <v>30.568114973261999</v>
      </c>
      <c r="R3" s="1">
        <v>31.607486631015998</v>
      </c>
      <c r="S3" s="39">
        <v>33.473328877005301</v>
      </c>
      <c r="T3" s="69">
        <f t="shared" ref="T3:T66" si="0">IF(N3="NA",48,72)</f>
        <v>48</v>
      </c>
      <c r="U3" s="23">
        <f t="shared" ref="U3:U66" si="1">Q3/K3/(T3-24)</f>
        <v>0.11142014045964628</v>
      </c>
      <c r="V3" s="8">
        <f t="shared" ref="V3:V66" si="2">R3/L3/(T3-24)</f>
        <v>0.11681815005960523</v>
      </c>
      <c r="W3" s="11">
        <f t="shared" ref="W3:W66" si="3">S3/M3/(T3-24)</f>
        <v>0.12587744234217821</v>
      </c>
      <c r="X3" s="23">
        <f>U3/U$17</f>
        <v>2.019258086093199</v>
      </c>
      <c r="Y3" s="8">
        <f t="shared" ref="Y3:Z17" si="4">V3/V$17</f>
        <v>1.7913024203133825</v>
      </c>
      <c r="Z3" s="11">
        <f t="shared" si="4"/>
        <v>2.4790018727866321</v>
      </c>
    </row>
    <row r="4" spans="1:26" x14ac:dyDescent="0.3">
      <c r="A4" s="69" t="s">
        <v>543</v>
      </c>
      <c r="B4" s="11" t="s">
        <v>37</v>
      </c>
      <c r="C4" s="8" t="s">
        <v>38</v>
      </c>
      <c r="D4" s="23" t="s">
        <v>39</v>
      </c>
      <c r="E4" s="23" t="s">
        <v>30</v>
      </c>
      <c r="F4" s="8">
        <v>2</v>
      </c>
      <c r="G4" s="53" t="s">
        <v>546</v>
      </c>
      <c r="H4" s="29">
        <v>5.1937500014901161</v>
      </c>
      <c r="I4" s="1">
        <v>5.2962500602006912</v>
      </c>
      <c r="J4" s="30">
        <v>3.9700000546872616</v>
      </c>
      <c r="K4" s="29">
        <v>11.322499997913837</v>
      </c>
      <c r="L4" s="1">
        <v>10.387499816715717</v>
      </c>
      <c r="M4" s="30">
        <v>9.2487499117851257</v>
      </c>
      <c r="N4" s="23" t="s">
        <v>32</v>
      </c>
      <c r="O4" s="8" t="s">
        <v>32</v>
      </c>
      <c r="P4" s="11" t="s">
        <v>32</v>
      </c>
      <c r="Q4" s="45">
        <v>17.121189839572192</v>
      </c>
      <c r="R4" s="1">
        <v>15.302606951871658</v>
      </c>
      <c r="S4" s="39">
        <v>22.116644385026738</v>
      </c>
      <c r="T4" s="69">
        <f t="shared" si="0"/>
        <v>48</v>
      </c>
      <c r="U4" s="23">
        <f t="shared" si="1"/>
        <v>6.3005777002748065E-2</v>
      </c>
      <c r="V4" s="8">
        <f t="shared" si="2"/>
        <v>6.1382299325637844E-2</v>
      </c>
      <c r="W4" s="11">
        <f t="shared" si="3"/>
        <v>9.9637989800315366E-2</v>
      </c>
      <c r="X4" s="23">
        <f t="shared" ref="X4:X17" si="5">U4/U$17</f>
        <v>1.1418485397571525</v>
      </c>
      <c r="Y4" s="8">
        <f t="shared" si="4"/>
        <v>0.94124296002215901</v>
      </c>
      <c r="Z4" s="11">
        <f t="shared" si="4"/>
        <v>1.962248030463144</v>
      </c>
    </row>
    <row r="5" spans="1:26" x14ac:dyDescent="0.3">
      <c r="A5" s="69" t="s">
        <v>543</v>
      </c>
      <c r="B5" s="11" t="s">
        <v>41</v>
      </c>
      <c r="C5" s="8" t="s">
        <v>42</v>
      </c>
      <c r="D5" s="23" t="s">
        <v>43</v>
      </c>
      <c r="E5" s="23" t="s">
        <v>30</v>
      </c>
      <c r="F5" s="8">
        <v>2</v>
      </c>
      <c r="G5" s="53" t="s">
        <v>547</v>
      </c>
      <c r="H5" s="29">
        <v>4.050000011920929</v>
      </c>
      <c r="I5" s="1">
        <v>4.0137499570846558</v>
      </c>
      <c r="J5" s="30">
        <v>5.5162499658763409</v>
      </c>
      <c r="K5" s="29">
        <v>12.987500056624413</v>
      </c>
      <c r="L5" s="1">
        <v>10.387500002980232</v>
      </c>
      <c r="M5" s="30">
        <v>9.9737502634525299</v>
      </c>
      <c r="N5" s="23" t="s">
        <v>32</v>
      </c>
      <c r="O5" s="8" t="s">
        <v>32</v>
      </c>
      <c r="P5" s="11" t="s">
        <v>32</v>
      </c>
      <c r="Q5" s="45">
        <v>21.860828877005346</v>
      </c>
      <c r="R5" s="1">
        <v>28.464304812834222</v>
      </c>
      <c r="S5" s="39">
        <v>21.270721925133689</v>
      </c>
      <c r="T5" s="69">
        <f t="shared" si="0"/>
        <v>48</v>
      </c>
      <c r="U5" s="23">
        <f t="shared" si="1"/>
        <v>7.0134195642264877E-2</v>
      </c>
      <c r="V5" s="8">
        <f t="shared" si="2"/>
        <v>0.11417691457949319</v>
      </c>
      <c r="W5" s="11">
        <f t="shared" si="3"/>
        <v>8.8861266504893163E-2</v>
      </c>
      <c r="X5" s="23">
        <f t="shared" si="5"/>
        <v>1.2710362873180616</v>
      </c>
      <c r="Y5" s="8">
        <f t="shared" si="4"/>
        <v>1.7508014236298346</v>
      </c>
      <c r="Z5" s="11">
        <f t="shared" si="4"/>
        <v>1.7500136798538186</v>
      </c>
    </row>
    <row r="6" spans="1:26" x14ac:dyDescent="0.3">
      <c r="A6" s="69" t="s">
        <v>543</v>
      </c>
      <c r="B6" s="11" t="s">
        <v>45</v>
      </c>
      <c r="C6" s="8" t="s">
        <v>46</v>
      </c>
      <c r="D6" s="23" t="s">
        <v>47</v>
      </c>
      <c r="E6" s="23" t="s">
        <v>30</v>
      </c>
      <c r="F6" s="8">
        <v>2</v>
      </c>
      <c r="G6" s="53" t="s">
        <v>548</v>
      </c>
      <c r="H6" s="29">
        <v>6.1962500214576721</v>
      </c>
      <c r="I6" s="1">
        <v>7.1462499909102917</v>
      </c>
      <c r="J6" s="30">
        <v>4.6824999153614044</v>
      </c>
      <c r="K6" s="29">
        <v>9.5949999988079071</v>
      </c>
      <c r="L6" s="1">
        <v>11.166249960660934</v>
      </c>
      <c r="M6" s="30">
        <v>9.4687499105930328</v>
      </c>
      <c r="N6" s="23" t="s">
        <v>32</v>
      </c>
      <c r="O6" s="8" t="s">
        <v>32</v>
      </c>
      <c r="P6" s="11" t="s">
        <v>32</v>
      </c>
      <c r="Q6" s="45">
        <v>45.213569518716575</v>
      </c>
      <c r="R6" s="1">
        <v>37.824799465240602</v>
      </c>
      <c r="S6" s="39">
        <v>40.355013368983997</v>
      </c>
      <c r="T6" s="69">
        <f t="shared" si="0"/>
        <v>48</v>
      </c>
      <c r="U6" s="23">
        <f t="shared" si="1"/>
        <v>0.19634171236900277</v>
      </c>
      <c r="V6" s="8">
        <f t="shared" si="2"/>
        <v>0.14114257844881753</v>
      </c>
      <c r="W6" s="11">
        <f t="shared" si="3"/>
        <v>0.17757981848197557</v>
      </c>
      <c r="X6" s="23">
        <f t="shared" si="5"/>
        <v>3.5582847831903774</v>
      </c>
      <c r="Y6" s="8">
        <f t="shared" si="4"/>
        <v>2.1642958928525657</v>
      </c>
      <c r="Z6" s="11">
        <f t="shared" si="4"/>
        <v>3.4972167720826124</v>
      </c>
    </row>
    <row r="7" spans="1:26" x14ac:dyDescent="0.3">
      <c r="A7" s="69" t="s">
        <v>543</v>
      </c>
      <c r="B7" s="11" t="s">
        <v>49</v>
      </c>
      <c r="C7" s="8" t="s">
        <v>50</v>
      </c>
      <c r="D7" s="23" t="s">
        <v>51</v>
      </c>
      <c r="E7" s="23" t="s">
        <v>30</v>
      </c>
      <c r="F7" s="8">
        <v>2</v>
      </c>
      <c r="G7" s="53" t="s">
        <v>549</v>
      </c>
      <c r="H7" s="29">
        <v>6.0662499628961086</v>
      </c>
      <c r="I7" s="1">
        <v>7.3774999007582664</v>
      </c>
      <c r="J7" s="30">
        <v>5.0574999302625656</v>
      </c>
      <c r="K7" s="29">
        <v>9.987499937415123</v>
      </c>
      <c r="L7" s="1">
        <v>12.22624983638525</v>
      </c>
      <c r="M7" s="30">
        <v>9.8212501034140587</v>
      </c>
      <c r="N7" s="23" t="s">
        <v>32</v>
      </c>
      <c r="O7" s="8" t="s">
        <v>32</v>
      </c>
      <c r="P7" s="11" t="s">
        <v>32</v>
      </c>
      <c r="Q7" s="45">
        <v>25.883355614973258</v>
      </c>
      <c r="R7" s="1">
        <v>19.380347593582883</v>
      </c>
      <c r="S7" s="39">
        <v>26.277406417112299</v>
      </c>
      <c r="T7" s="69">
        <f t="shared" si="0"/>
        <v>48</v>
      </c>
      <c r="U7" s="23">
        <f t="shared" si="1"/>
        <v>0.10798229360520094</v>
      </c>
      <c r="V7" s="8">
        <f t="shared" si="2"/>
        <v>6.6047601993441604E-2</v>
      </c>
      <c r="W7" s="11">
        <f t="shared" si="3"/>
        <v>0.11148193178236444</v>
      </c>
      <c r="X7" s="23">
        <f t="shared" si="5"/>
        <v>1.9569542689291646</v>
      </c>
      <c r="Y7" s="8">
        <f t="shared" si="4"/>
        <v>1.0127812266020295</v>
      </c>
      <c r="Z7" s="11">
        <f t="shared" si="4"/>
        <v>2.1954999444547085</v>
      </c>
    </row>
    <row r="8" spans="1:26" x14ac:dyDescent="0.3">
      <c r="A8" s="69" t="s">
        <v>543</v>
      </c>
      <c r="B8" s="11" t="s">
        <v>53</v>
      </c>
      <c r="C8" s="8" t="s">
        <v>54</v>
      </c>
      <c r="D8" s="23" t="s">
        <v>53</v>
      </c>
      <c r="E8" s="23" t="s">
        <v>30</v>
      </c>
      <c r="F8" s="8">
        <v>2</v>
      </c>
      <c r="G8" s="53" t="s">
        <v>550</v>
      </c>
      <c r="H8" s="29">
        <v>6.0137500986456871</v>
      </c>
      <c r="I8" s="1">
        <v>7.6712500303983688</v>
      </c>
      <c r="J8" s="30">
        <v>4.4574999250471592</v>
      </c>
      <c r="K8" s="29">
        <v>9.1837499290704727</v>
      </c>
      <c r="L8" s="1">
        <v>9.6262501552700996</v>
      </c>
      <c r="M8" s="30">
        <v>8.8475000113248825</v>
      </c>
      <c r="N8" s="23" t="s">
        <v>32</v>
      </c>
      <c r="O8" s="8" t="s">
        <v>32</v>
      </c>
      <c r="P8" s="11" t="s">
        <v>32</v>
      </c>
      <c r="Q8" s="45">
        <v>35.749264705882403</v>
      </c>
      <c r="R8" s="1">
        <v>36.763502673796786</v>
      </c>
      <c r="S8" s="39">
        <v>32.866510695187166</v>
      </c>
      <c r="T8" s="69">
        <f t="shared" si="0"/>
        <v>48</v>
      </c>
      <c r="U8" s="23">
        <f t="shared" si="1"/>
        <v>0.16219438765023053</v>
      </c>
      <c r="V8" s="8">
        <f t="shared" si="2"/>
        <v>0.15912869359306805</v>
      </c>
      <c r="W8" s="11">
        <f t="shared" si="3"/>
        <v>0.15478247458377001</v>
      </c>
      <c r="X8" s="23">
        <f t="shared" si="5"/>
        <v>2.9394356121843161</v>
      </c>
      <c r="Y8" s="8">
        <f t="shared" si="4"/>
        <v>2.4400969697699106</v>
      </c>
      <c r="Z8" s="11">
        <f t="shared" si="4"/>
        <v>3.0482510386942092</v>
      </c>
    </row>
    <row r="9" spans="1:26" x14ac:dyDescent="0.3">
      <c r="A9" s="69" t="s">
        <v>543</v>
      </c>
      <c r="B9" s="11" t="s">
        <v>56</v>
      </c>
      <c r="C9" s="8" t="s">
        <v>57</v>
      </c>
      <c r="D9" s="23" t="s">
        <v>58</v>
      </c>
      <c r="E9" s="23" t="s">
        <v>30</v>
      </c>
      <c r="F9" s="8">
        <v>2</v>
      </c>
      <c r="G9" s="53" t="s">
        <v>551</v>
      </c>
      <c r="H9" s="29">
        <v>5.970000009983778</v>
      </c>
      <c r="I9" s="1">
        <v>6.2399999238550663</v>
      </c>
      <c r="J9" s="30">
        <v>6.0862498357892036</v>
      </c>
      <c r="K9" s="29">
        <v>10.586250200867653</v>
      </c>
      <c r="L9" s="1">
        <v>11.928750202059746</v>
      </c>
      <c r="M9" s="30">
        <v>9.6400000154972076</v>
      </c>
      <c r="N9" s="23" t="s">
        <v>32</v>
      </c>
      <c r="O9" s="8" t="s">
        <v>32</v>
      </c>
      <c r="P9" s="11" t="s">
        <v>32</v>
      </c>
      <c r="Q9" s="45">
        <v>24.206350267379676</v>
      </c>
      <c r="R9" s="1">
        <v>34.37533422459893</v>
      </c>
      <c r="S9" s="39">
        <v>31.585360962566838</v>
      </c>
      <c r="T9" s="69">
        <f t="shared" si="0"/>
        <v>48</v>
      </c>
      <c r="U9" s="23">
        <f t="shared" si="1"/>
        <v>9.5274333089616706E-2</v>
      </c>
      <c r="V9" s="8">
        <f t="shared" si="2"/>
        <v>0.12007172322581665</v>
      </c>
      <c r="W9" s="11">
        <f t="shared" si="3"/>
        <v>0.13652040504750343</v>
      </c>
      <c r="X9" s="23">
        <f t="shared" si="5"/>
        <v>1.7266489406196903</v>
      </c>
      <c r="Y9" s="8">
        <f t="shared" si="4"/>
        <v>1.8411930707330941</v>
      </c>
      <c r="Z9" s="11">
        <f t="shared" si="4"/>
        <v>2.6886019725946575</v>
      </c>
    </row>
    <row r="10" spans="1:26" x14ac:dyDescent="0.3">
      <c r="A10" s="69" t="s">
        <v>543</v>
      </c>
      <c r="B10" s="11" t="s">
        <v>60</v>
      </c>
      <c r="C10" s="8" t="s">
        <v>61</v>
      </c>
      <c r="D10" s="23" t="s">
        <v>62</v>
      </c>
      <c r="E10" s="23" t="s">
        <v>30</v>
      </c>
      <c r="F10" s="8">
        <v>2</v>
      </c>
      <c r="G10" s="53" t="s">
        <v>552</v>
      </c>
      <c r="H10" s="29">
        <v>6.9250000640749931</v>
      </c>
      <c r="I10" s="1">
        <v>6.4862499013543129</v>
      </c>
      <c r="J10" s="30">
        <v>4.0087500587105751</v>
      </c>
      <c r="K10" s="29">
        <v>10.662500187754631</v>
      </c>
      <c r="L10" s="1">
        <v>9.8449999466538429</v>
      </c>
      <c r="M10" s="30">
        <v>8.8037500157952309</v>
      </c>
      <c r="N10" s="23" t="s">
        <v>32</v>
      </c>
      <c r="O10" s="8" t="s">
        <v>32</v>
      </c>
      <c r="P10" s="11" t="s">
        <v>32</v>
      </c>
      <c r="Q10" s="45">
        <v>30.469919786096256</v>
      </c>
      <c r="R10" s="1">
        <v>28.017713903743299</v>
      </c>
      <c r="S10" s="39">
        <v>31.3504679144385</v>
      </c>
      <c r="T10" s="69">
        <f t="shared" si="0"/>
        <v>48</v>
      </c>
      <c r="U10" s="23">
        <f t="shared" si="1"/>
        <v>0.11906963364421748</v>
      </c>
      <c r="V10" s="8">
        <f t="shared" si="2"/>
        <v>0.11857844106805569</v>
      </c>
      <c r="W10" s="11">
        <f t="shared" si="3"/>
        <v>0.14837648662118944</v>
      </c>
      <c r="X10" s="23">
        <f t="shared" si="5"/>
        <v>2.1578892249854937</v>
      </c>
      <c r="Y10" s="8">
        <f t="shared" si="4"/>
        <v>1.8182949171324496</v>
      </c>
      <c r="Z10" s="11">
        <f t="shared" si="4"/>
        <v>2.9220929609576332</v>
      </c>
    </row>
    <row r="11" spans="1:26" x14ac:dyDescent="0.3">
      <c r="A11" s="69" t="s">
        <v>543</v>
      </c>
      <c r="B11" s="11" t="s">
        <v>64</v>
      </c>
      <c r="C11" s="8" t="s">
        <v>65</v>
      </c>
      <c r="D11" s="23" t="s">
        <v>64</v>
      </c>
      <c r="E11" s="23" t="s">
        <v>30</v>
      </c>
      <c r="F11" s="8">
        <v>2</v>
      </c>
      <c r="G11" s="53" t="s">
        <v>553</v>
      </c>
      <c r="H11" s="29">
        <v>6.6625000908970833</v>
      </c>
      <c r="I11" s="1">
        <v>4.3350000865757465</v>
      </c>
      <c r="J11" s="30">
        <v>4.6512499451637268</v>
      </c>
      <c r="K11" s="29">
        <v>10.46374998986721</v>
      </c>
      <c r="L11" s="1">
        <v>9.4650000333786011</v>
      </c>
      <c r="M11" s="30">
        <v>8.9249998331069946</v>
      </c>
      <c r="N11" s="23" t="s">
        <v>32</v>
      </c>
      <c r="O11" s="8" t="s">
        <v>32</v>
      </c>
      <c r="P11" s="11" t="s">
        <v>32</v>
      </c>
      <c r="Q11" s="45">
        <v>21.189104278074865</v>
      </c>
      <c r="R11" s="1">
        <v>21.434090909090905</v>
      </c>
      <c r="S11" s="39">
        <v>31.733689839572186</v>
      </c>
      <c r="T11" s="69">
        <f t="shared" si="0"/>
        <v>48</v>
      </c>
      <c r="U11" s="23">
        <f t="shared" si="1"/>
        <v>8.4375042004514691E-2</v>
      </c>
      <c r="V11" s="8">
        <f t="shared" si="2"/>
        <v>9.4356800640530702E-2</v>
      </c>
      <c r="W11" s="11">
        <f t="shared" si="3"/>
        <v>0.14814981528000101</v>
      </c>
      <c r="X11" s="23">
        <f t="shared" si="5"/>
        <v>1.5291219803638225</v>
      </c>
      <c r="Y11" s="8">
        <f t="shared" si="4"/>
        <v>1.4468776065548761</v>
      </c>
      <c r="Z11" s="11">
        <f t="shared" si="4"/>
        <v>2.9176289468431293</v>
      </c>
    </row>
    <row r="12" spans="1:26" x14ac:dyDescent="0.3">
      <c r="A12" s="69" t="s">
        <v>543</v>
      </c>
      <c r="B12" s="11" t="s">
        <v>67</v>
      </c>
      <c r="C12" s="8" t="s">
        <v>68</v>
      </c>
      <c r="D12" s="23" t="s">
        <v>69</v>
      </c>
      <c r="E12" s="23" t="s">
        <v>30</v>
      </c>
      <c r="F12" s="8">
        <v>2</v>
      </c>
      <c r="G12" s="53" t="s">
        <v>554</v>
      </c>
      <c r="H12" s="29">
        <v>6.9587498903274536</v>
      </c>
      <c r="I12" s="1">
        <v>3.3537500537931919</v>
      </c>
      <c r="J12" s="30">
        <v>3.7137500010430813</v>
      </c>
      <c r="K12" s="29">
        <v>10.520000010728836</v>
      </c>
      <c r="L12" s="1">
        <v>10.594999976456165</v>
      </c>
      <c r="M12" s="30">
        <v>9.5637502148747444</v>
      </c>
      <c r="N12" s="23" t="s">
        <v>32</v>
      </c>
      <c r="O12" s="8" t="s">
        <v>32</v>
      </c>
      <c r="P12" s="11" t="s">
        <v>32</v>
      </c>
      <c r="Q12" s="45">
        <v>28.344518716577536</v>
      </c>
      <c r="R12" s="1">
        <v>28.666510695187167</v>
      </c>
      <c r="S12" s="39">
        <v>36.266711229946523</v>
      </c>
      <c r="T12" s="69">
        <f t="shared" si="0"/>
        <v>48</v>
      </c>
      <c r="U12" s="23">
        <f t="shared" si="1"/>
        <v>0.11226441178576656</v>
      </c>
      <c r="V12" s="8">
        <f t="shared" si="2"/>
        <v>0.11273600266984769</v>
      </c>
      <c r="W12" s="11">
        <f t="shared" si="3"/>
        <v>0.15800422783566284</v>
      </c>
      <c r="X12" s="23">
        <f t="shared" si="5"/>
        <v>2.0345587462350019</v>
      </c>
      <c r="Y12" s="8">
        <f t="shared" si="4"/>
        <v>1.728706321200209</v>
      </c>
      <c r="Z12" s="11">
        <f t="shared" si="4"/>
        <v>3.1116995183939165</v>
      </c>
    </row>
    <row r="13" spans="1:26" x14ac:dyDescent="0.3">
      <c r="A13" s="69" t="s">
        <v>543</v>
      </c>
      <c r="B13" s="11" t="s">
        <v>71</v>
      </c>
      <c r="C13" s="8" t="s">
        <v>72</v>
      </c>
      <c r="D13" s="23" t="s">
        <v>73</v>
      </c>
      <c r="E13" s="23" t="s">
        <v>30</v>
      </c>
      <c r="F13" s="8">
        <v>2</v>
      </c>
      <c r="G13" s="53" t="s">
        <v>555</v>
      </c>
      <c r="H13" s="29">
        <v>7.6975001022219658</v>
      </c>
      <c r="I13" s="1">
        <v>2.96249995008111</v>
      </c>
      <c r="J13" s="30">
        <v>5.6762499734759331</v>
      </c>
      <c r="K13" s="29">
        <v>9.6012499183416367</v>
      </c>
      <c r="L13" s="1">
        <v>9.5587501302361488</v>
      </c>
      <c r="M13" s="30">
        <v>10.282499901950359</v>
      </c>
      <c r="N13" s="23" t="s">
        <v>32</v>
      </c>
      <c r="O13" s="8" t="s">
        <v>32</v>
      </c>
      <c r="P13" s="11" t="s">
        <v>32</v>
      </c>
      <c r="Q13" s="45">
        <v>37.105548128342242</v>
      </c>
      <c r="R13" s="1">
        <v>45.49752673796791</v>
      </c>
      <c r="S13" s="39">
        <v>43.996991978609621</v>
      </c>
      <c r="T13" s="69">
        <f t="shared" si="0"/>
        <v>48</v>
      </c>
      <c r="U13" s="23">
        <f t="shared" si="1"/>
        <v>0.1610274202314104</v>
      </c>
      <c r="V13" s="8">
        <f t="shared" si="2"/>
        <v>0.19832407531525556</v>
      </c>
      <c r="W13" s="11">
        <f t="shared" si="3"/>
        <v>0.17828427100310654</v>
      </c>
      <c r="X13" s="23">
        <f t="shared" si="5"/>
        <v>2.9182867571663738</v>
      </c>
      <c r="Y13" s="8">
        <f t="shared" si="4"/>
        <v>3.0411232838164617</v>
      </c>
      <c r="Z13" s="11">
        <f t="shared" si="4"/>
        <v>3.5110901006685697</v>
      </c>
    </row>
    <row r="14" spans="1:26" x14ac:dyDescent="0.3">
      <c r="A14" s="69" t="s">
        <v>543</v>
      </c>
      <c r="B14" s="11" t="s">
        <v>75</v>
      </c>
      <c r="C14" s="8" t="s">
        <v>76</v>
      </c>
      <c r="D14" s="23" t="s">
        <v>77</v>
      </c>
      <c r="E14" s="23" t="s">
        <v>30</v>
      </c>
      <c r="F14" s="8">
        <v>2</v>
      </c>
      <c r="G14" s="53" t="s">
        <v>556</v>
      </c>
      <c r="H14" s="29">
        <v>7.2549999691545963</v>
      </c>
      <c r="I14" s="1">
        <v>4.1125000454485416</v>
      </c>
      <c r="J14" s="30">
        <v>4.1025000624358654</v>
      </c>
      <c r="K14" s="29">
        <v>11.366249993443489</v>
      </c>
      <c r="L14" s="1">
        <v>8.8287500664591789</v>
      </c>
      <c r="M14" s="30">
        <v>8.2349998876452446</v>
      </c>
      <c r="N14" s="23" t="s">
        <v>32</v>
      </c>
      <c r="O14" s="8" t="s">
        <v>32</v>
      </c>
      <c r="P14" s="11" t="s">
        <v>32</v>
      </c>
      <c r="Q14" s="45">
        <v>41.084625668449199</v>
      </c>
      <c r="R14" s="1">
        <v>25.568850267379677</v>
      </c>
      <c r="S14" s="39">
        <v>9.8012700534759354</v>
      </c>
      <c r="T14" s="69">
        <f t="shared" si="0"/>
        <v>48</v>
      </c>
      <c r="U14" s="23">
        <f t="shared" si="1"/>
        <v>0.15060898747075943</v>
      </c>
      <c r="V14" s="8">
        <f t="shared" si="2"/>
        <v>0.12067039536980484</v>
      </c>
      <c r="W14" s="11">
        <f t="shared" si="3"/>
        <v>4.9591531001822502E-2</v>
      </c>
      <c r="X14" s="23">
        <f t="shared" si="5"/>
        <v>2.7294743529674932</v>
      </c>
      <c r="Y14" s="8">
        <f t="shared" si="4"/>
        <v>1.850373175536612</v>
      </c>
      <c r="Z14" s="11">
        <f t="shared" si="4"/>
        <v>0.9766443926759163</v>
      </c>
    </row>
    <row r="15" spans="1:26" x14ac:dyDescent="0.3">
      <c r="A15" s="69" t="s">
        <v>543</v>
      </c>
      <c r="B15" s="11" t="s">
        <v>79</v>
      </c>
      <c r="C15" s="8" t="s">
        <v>80</v>
      </c>
      <c r="D15" s="23" t="s">
        <v>81</v>
      </c>
      <c r="E15" s="23" t="s">
        <v>82</v>
      </c>
      <c r="F15" s="8">
        <v>2</v>
      </c>
      <c r="G15" s="53" t="s">
        <v>557</v>
      </c>
      <c r="H15" s="29">
        <v>8.6362499743700027</v>
      </c>
      <c r="I15" s="1">
        <v>3.7612500600516796</v>
      </c>
      <c r="J15" s="30">
        <v>3.6287500523030758</v>
      </c>
      <c r="K15" s="29">
        <v>10.832499898970127</v>
      </c>
      <c r="L15" s="1">
        <v>8.9562499895691872</v>
      </c>
      <c r="M15" s="30">
        <v>9.5899999141693115</v>
      </c>
      <c r="N15" s="23" t="s">
        <v>32</v>
      </c>
      <c r="O15" s="8" t="s">
        <v>32</v>
      </c>
      <c r="P15" s="11" t="s">
        <v>32</v>
      </c>
      <c r="Q15" s="45">
        <v>24.651069518716575</v>
      </c>
      <c r="R15" s="1">
        <v>23.469652406417108</v>
      </c>
      <c r="S15" s="39">
        <v>30.729946524064168</v>
      </c>
      <c r="T15" s="69">
        <f t="shared" si="0"/>
        <v>48</v>
      </c>
      <c r="U15" s="23">
        <f t="shared" si="1"/>
        <v>9.481910050244656E-2</v>
      </c>
      <c r="V15" s="8">
        <f t="shared" si="2"/>
        <v>0.10918656633519803</v>
      </c>
      <c r="W15" s="11">
        <f t="shared" si="3"/>
        <v>0.13351558393768595</v>
      </c>
      <c r="X15" s="23">
        <f t="shared" si="5"/>
        <v>1.718398797702043</v>
      </c>
      <c r="Y15" s="8">
        <f t="shared" si="4"/>
        <v>1.6742788722655868</v>
      </c>
      <c r="Z15" s="11">
        <f t="shared" si="4"/>
        <v>2.6294257054253776</v>
      </c>
    </row>
    <row r="16" spans="1:26" x14ac:dyDescent="0.3">
      <c r="A16" s="69" t="s">
        <v>543</v>
      </c>
      <c r="B16" s="11" t="s">
        <v>83</v>
      </c>
      <c r="C16" s="8" t="s">
        <v>84</v>
      </c>
      <c r="D16" s="23" t="s">
        <v>85</v>
      </c>
      <c r="E16" s="23" t="s">
        <v>82</v>
      </c>
      <c r="F16" s="8">
        <v>2</v>
      </c>
      <c r="G16" s="53" t="s">
        <v>558</v>
      </c>
      <c r="H16" s="29">
        <v>7.2149999439716339</v>
      </c>
      <c r="I16" s="1">
        <v>5.3199999965727329</v>
      </c>
      <c r="J16" s="30">
        <v>4.5824999921023846</v>
      </c>
      <c r="K16" s="29">
        <v>11.266249977052212</v>
      </c>
      <c r="L16" s="1">
        <v>8.8087501004338264</v>
      </c>
      <c r="M16" s="30">
        <v>9.5787500962615013</v>
      </c>
      <c r="N16" s="23" t="s">
        <v>32</v>
      </c>
      <c r="O16" s="8" t="s">
        <v>32</v>
      </c>
      <c r="P16" s="11" t="s">
        <v>32</v>
      </c>
      <c r="Q16" s="45">
        <v>14.127005347593583</v>
      </c>
      <c r="R16" s="1">
        <v>20.678208556149734</v>
      </c>
      <c r="S16" s="39">
        <v>16.648462566844916</v>
      </c>
      <c r="T16" s="69">
        <f t="shared" si="0"/>
        <v>48</v>
      </c>
      <c r="U16" s="23">
        <f t="shared" si="1"/>
        <v>5.2246774571427686E-2</v>
      </c>
      <c r="V16" s="8">
        <f t="shared" si="2"/>
        <v>9.7810928150915841E-2</v>
      </c>
      <c r="W16" s="11">
        <f t="shared" si="3"/>
        <v>7.2419254424013438E-2</v>
      </c>
      <c r="X16" s="23">
        <f t="shared" si="5"/>
        <v>0.94686401929149755</v>
      </c>
      <c r="Y16" s="8">
        <f t="shared" si="4"/>
        <v>1.4998435794475036</v>
      </c>
      <c r="Z16" s="11">
        <f t="shared" si="4"/>
        <v>1.4262084135370614</v>
      </c>
    </row>
    <row r="17" spans="1:26" x14ac:dyDescent="0.3">
      <c r="A17" s="69" t="s">
        <v>543</v>
      </c>
      <c r="B17" s="11" t="s">
        <v>86</v>
      </c>
      <c r="C17" s="8" t="s">
        <v>86</v>
      </c>
      <c r="D17" s="23" t="s">
        <v>86</v>
      </c>
      <c r="E17" s="23" t="s">
        <v>87</v>
      </c>
      <c r="F17" s="8">
        <v>2</v>
      </c>
      <c r="G17" s="54" t="s">
        <v>559</v>
      </c>
      <c r="H17" s="29">
        <v>6.4737500622868538</v>
      </c>
      <c r="I17" s="1">
        <v>5.2000000141561031</v>
      </c>
      <c r="J17" s="30">
        <v>5.3212500177323818</v>
      </c>
      <c r="K17" s="29">
        <v>10.831250064074993</v>
      </c>
      <c r="L17" s="1">
        <v>10.248749889433384</v>
      </c>
      <c r="M17" s="30">
        <v>9.4162501394748688</v>
      </c>
      <c r="N17" s="23" t="s">
        <v>32</v>
      </c>
      <c r="O17" s="8" t="s">
        <v>32</v>
      </c>
      <c r="P17" s="11" t="s">
        <v>32</v>
      </c>
      <c r="Q17" s="45">
        <v>14.343716577540107</v>
      </c>
      <c r="R17" s="1">
        <v>16.040708556149731</v>
      </c>
      <c r="S17" s="39">
        <v>11.475200534759356</v>
      </c>
      <c r="T17" s="69">
        <f t="shared" si="0"/>
        <v>48</v>
      </c>
      <c r="U17" s="23">
        <f t="shared" si="1"/>
        <v>5.5178751654880676E-2</v>
      </c>
      <c r="V17" s="8">
        <f t="shared" si="2"/>
        <v>6.5214085982850556E-2</v>
      </c>
      <c r="W17" s="11">
        <f t="shared" si="3"/>
        <v>5.0777469643732087E-2</v>
      </c>
      <c r="X17" s="23">
        <f t="shared" si="5"/>
        <v>1</v>
      </c>
      <c r="Y17" s="8">
        <f t="shared" si="4"/>
        <v>1</v>
      </c>
      <c r="Z17" s="11">
        <f t="shared" si="4"/>
        <v>1</v>
      </c>
    </row>
    <row r="18" spans="1:26" x14ac:dyDescent="0.3">
      <c r="A18" s="69" t="s">
        <v>543</v>
      </c>
      <c r="B18" s="11" t="s">
        <v>89</v>
      </c>
      <c r="C18" s="8" t="s">
        <v>90</v>
      </c>
      <c r="D18" s="23" t="s">
        <v>91</v>
      </c>
      <c r="E18" s="23" t="s">
        <v>82</v>
      </c>
      <c r="F18" s="8">
        <v>4</v>
      </c>
      <c r="G18" s="11" t="s">
        <v>560</v>
      </c>
      <c r="H18" s="5">
        <v>5.604999978095293</v>
      </c>
      <c r="I18" s="6">
        <v>5.7825000956654549</v>
      </c>
      <c r="J18" s="35">
        <v>5.5724999867379665</v>
      </c>
      <c r="K18" s="5">
        <v>12.723750062286854</v>
      </c>
      <c r="L18" s="6">
        <v>13.054999895393848</v>
      </c>
      <c r="M18" s="35">
        <v>12.35750038176775</v>
      </c>
      <c r="N18" s="5">
        <v>15.060000121593475</v>
      </c>
      <c r="O18" s="6">
        <v>14.874999970197678</v>
      </c>
      <c r="P18" s="35">
        <v>14.462499693036079</v>
      </c>
      <c r="Q18" s="7">
        <v>54.361123919308355</v>
      </c>
      <c r="R18" s="6">
        <v>43.166829971181556</v>
      </c>
      <c r="S18" s="26">
        <v>41.278472622478397</v>
      </c>
      <c r="T18" s="69">
        <f t="shared" si="0"/>
        <v>72</v>
      </c>
      <c r="U18" s="23">
        <f t="shared" si="1"/>
        <v>8.9008618484450255E-2</v>
      </c>
      <c r="V18" s="8">
        <f t="shared" si="2"/>
        <v>6.8886171194091642E-2</v>
      </c>
      <c r="W18" s="11">
        <f t="shared" si="3"/>
        <v>6.9590787219700453E-2</v>
      </c>
      <c r="X18" s="23">
        <f>U18/U$73</f>
        <v>5.5621426255038946</v>
      </c>
      <c r="Y18" s="8">
        <f>V18/V$73</f>
        <v>5.2291149958582386</v>
      </c>
      <c r="Z18" s="11">
        <f>W18/W$73</f>
        <v>6.9582389234266122</v>
      </c>
    </row>
    <row r="19" spans="1:26" x14ac:dyDescent="0.3">
      <c r="A19" s="69" t="s">
        <v>543</v>
      </c>
      <c r="B19" s="11" t="s">
        <v>93</v>
      </c>
      <c r="C19" s="8" t="s">
        <v>94</v>
      </c>
      <c r="D19" s="23" t="s">
        <v>95</v>
      </c>
      <c r="E19" s="23" t="s">
        <v>82</v>
      </c>
      <c r="F19" s="8">
        <v>4</v>
      </c>
      <c r="G19" s="11" t="s">
        <v>561</v>
      </c>
      <c r="H19" s="5">
        <v>6.0362500138580799</v>
      </c>
      <c r="I19" s="6">
        <v>6.1150000430643559</v>
      </c>
      <c r="J19" s="35">
        <v>5.9949999675154686</v>
      </c>
      <c r="K19" s="5">
        <v>13.120000250637531</v>
      </c>
      <c r="L19" s="6">
        <v>13.672499731183052</v>
      </c>
      <c r="M19" s="35">
        <v>12.757499516010284</v>
      </c>
      <c r="N19" s="5">
        <v>15.523749962449074</v>
      </c>
      <c r="O19" s="6">
        <v>15.75000025331974</v>
      </c>
      <c r="P19" s="35">
        <v>14.721250161528587</v>
      </c>
      <c r="Q19" s="7">
        <v>55.675417867435158</v>
      </c>
      <c r="R19" s="6">
        <v>46.472910662824205</v>
      </c>
      <c r="S19" s="26">
        <v>46.36625360230547</v>
      </c>
      <c r="T19" s="69">
        <f t="shared" si="0"/>
        <v>72</v>
      </c>
      <c r="U19" s="23">
        <f t="shared" si="1"/>
        <v>8.8407356459351952E-2</v>
      </c>
      <c r="V19" s="8">
        <f t="shared" si="2"/>
        <v>7.0812628110767759E-2</v>
      </c>
      <c r="W19" s="11">
        <f t="shared" si="3"/>
        <v>7.5717315568183369E-2</v>
      </c>
      <c r="X19" s="23">
        <f t="shared" ref="X19:Z25" si="6">U19/U$73</f>
        <v>5.5245698017050362</v>
      </c>
      <c r="Y19" s="8">
        <f t="shared" si="6"/>
        <v>5.3753513823091943</v>
      </c>
      <c r="Z19" s="11">
        <f t="shared" si="6"/>
        <v>7.5708178253623881</v>
      </c>
    </row>
    <row r="20" spans="1:26" x14ac:dyDescent="0.3">
      <c r="A20" s="69" t="s">
        <v>543</v>
      </c>
      <c r="B20" s="11" t="s">
        <v>97</v>
      </c>
      <c r="C20" s="8" t="s">
        <v>98</v>
      </c>
      <c r="D20" s="23" t="s">
        <v>99</v>
      </c>
      <c r="E20" s="23" t="s">
        <v>82</v>
      </c>
      <c r="F20" s="8">
        <v>4</v>
      </c>
      <c r="G20" s="11" t="s">
        <v>562</v>
      </c>
      <c r="H20" s="5">
        <v>5.9399999678134918</v>
      </c>
      <c r="I20" s="6">
        <v>6.4525000751018524</v>
      </c>
      <c r="J20" s="35">
        <v>5.7574999518692493</v>
      </c>
      <c r="K20" s="5">
        <v>13.376250118017197</v>
      </c>
      <c r="L20" s="6">
        <v>13.737500458955765</v>
      </c>
      <c r="M20" s="35">
        <v>12.338750064373016</v>
      </c>
      <c r="N20" s="5">
        <v>15.612499788403511</v>
      </c>
      <c r="O20" s="6">
        <v>15.195000171661377</v>
      </c>
      <c r="P20" s="35">
        <v>15.086250007152557</v>
      </c>
      <c r="Q20" s="7">
        <v>6.9793948126801144</v>
      </c>
      <c r="R20" s="6">
        <v>5.9645821325648409</v>
      </c>
      <c r="S20" s="26">
        <v>6.5063688760806917</v>
      </c>
      <c r="T20" s="69">
        <f t="shared" si="0"/>
        <v>72</v>
      </c>
      <c r="U20" s="23">
        <f t="shared" si="1"/>
        <v>1.0870315470675131E-2</v>
      </c>
      <c r="V20" s="8">
        <f t="shared" si="2"/>
        <v>9.0454685066640658E-3</v>
      </c>
      <c r="W20" s="11">
        <f t="shared" si="3"/>
        <v>1.098566312453321E-2</v>
      </c>
      <c r="X20" s="23">
        <f t="shared" si="6"/>
        <v>0.67928528789242237</v>
      </c>
      <c r="Y20" s="8">
        <f t="shared" si="6"/>
        <v>0.68663701571524394</v>
      </c>
      <c r="Z20" s="11">
        <f t="shared" si="6"/>
        <v>1.0984337411136478</v>
      </c>
    </row>
    <row r="21" spans="1:26" x14ac:dyDescent="0.3">
      <c r="A21" s="69" t="s">
        <v>543</v>
      </c>
      <c r="B21" s="11" t="s">
        <v>101</v>
      </c>
      <c r="C21" s="8" t="s">
        <v>102</v>
      </c>
      <c r="D21" s="23" t="s">
        <v>103</v>
      </c>
      <c r="E21" s="23" t="s">
        <v>82</v>
      </c>
      <c r="F21" s="8">
        <v>4</v>
      </c>
      <c r="G21" s="11" t="s">
        <v>563</v>
      </c>
      <c r="H21" s="5">
        <v>5.8325000107288361</v>
      </c>
      <c r="I21" s="6">
        <v>5.6849999353289604</v>
      </c>
      <c r="J21" s="35">
        <v>5.7162499986588955</v>
      </c>
      <c r="K21" s="5">
        <v>12.010000087320805</v>
      </c>
      <c r="L21" s="6">
        <v>11.948750168085098</v>
      </c>
      <c r="M21" s="35">
        <v>11.964999884366989</v>
      </c>
      <c r="N21" s="5">
        <v>13.738749921321869</v>
      </c>
      <c r="O21" s="6">
        <v>13.318749889731407</v>
      </c>
      <c r="P21" s="35">
        <v>13.268750160932541</v>
      </c>
      <c r="Q21" s="7">
        <v>0</v>
      </c>
      <c r="R21" s="6">
        <v>0</v>
      </c>
      <c r="S21" s="26">
        <v>0</v>
      </c>
      <c r="T21" s="69">
        <f t="shared" si="0"/>
        <v>72</v>
      </c>
      <c r="U21" s="23">
        <f t="shared" si="1"/>
        <v>0</v>
      </c>
      <c r="V21" s="8">
        <f t="shared" si="2"/>
        <v>0</v>
      </c>
      <c r="W21" s="11">
        <f t="shared" si="3"/>
        <v>0</v>
      </c>
      <c r="X21" s="23">
        <f t="shared" si="6"/>
        <v>0</v>
      </c>
      <c r="Y21" s="8">
        <f t="shared" si="6"/>
        <v>0</v>
      </c>
      <c r="Z21" s="11">
        <f t="shared" si="6"/>
        <v>0</v>
      </c>
    </row>
    <row r="22" spans="1:26" x14ac:dyDescent="0.3">
      <c r="A22" s="69" t="s">
        <v>543</v>
      </c>
      <c r="B22" s="11" t="s">
        <v>105</v>
      </c>
      <c r="C22" s="8" t="s">
        <v>106</v>
      </c>
      <c r="D22" s="23" t="s">
        <v>107</v>
      </c>
      <c r="E22" s="23" t="s">
        <v>82</v>
      </c>
      <c r="F22" s="8">
        <v>4</v>
      </c>
      <c r="G22" s="11" t="s">
        <v>564</v>
      </c>
      <c r="H22" s="5">
        <v>7.5275000184774399</v>
      </c>
      <c r="I22" s="6">
        <v>7.5425002723932266</v>
      </c>
      <c r="J22" s="35">
        <v>7.1025000885128975</v>
      </c>
      <c r="K22" s="5">
        <v>13.90250027179718</v>
      </c>
      <c r="L22" s="6">
        <v>14.018749818205833</v>
      </c>
      <c r="M22" s="35">
        <v>12.811250053346157</v>
      </c>
      <c r="N22" s="5">
        <v>15.738750249147415</v>
      </c>
      <c r="O22" s="6">
        <v>15.44874981045723</v>
      </c>
      <c r="P22" s="35">
        <v>14.120000228285789</v>
      </c>
      <c r="Q22" s="7">
        <v>26.820259365994232</v>
      </c>
      <c r="R22" s="6">
        <v>21.251066282420748</v>
      </c>
      <c r="S22" s="26">
        <v>23.237694524495677</v>
      </c>
      <c r="T22" s="69">
        <f t="shared" si="0"/>
        <v>72</v>
      </c>
      <c r="U22" s="23">
        <f t="shared" si="1"/>
        <v>4.0191001081417904E-2</v>
      </c>
      <c r="V22" s="8">
        <f t="shared" si="2"/>
        <v>3.1581314545999536E-2</v>
      </c>
      <c r="W22" s="11">
        <f t="shared" si="3"/>
        <v>3.7788555676543586E-2</v>
      </c>
      <c r="X22" s="23">
        <f t="shared" si="6"/>
        <v>2.5115329738061418</v>
      </c>
      <c r="Y22" s="8">
        <f t="shared" si="6"/>
        <v>2.3973218807023247</v>
      </c>
      <c r="Z22" s="11">
        <f t="shared" si="6"/>
        <v>3.778399547895372</v>
      </c>
    </row>
    <row r="23" spans="1:26" x14ac:dyDescent="0.3">
      <c r="A23" s="69" t="s">
        <v>543</v>
      </c>
      <c r="B23" s="11" t="s">
        <v>109</v>
      </c>
      <c r="C23" s="8" t="s">
        <v>110</v>
      </c>
      <c r="D23" s="23" t="s">
        <v>111</v>
      </c>
      <c r="E23" s="23" t="s">
        <v>82</v>
      </c>
      <c r="F23" s="8">
        <v>4</v>
      </c>
      <c r="G23" s="11" t="s">
        <v>565</v>
      </c>
      <c r="H23" s="5">
        <v>6.1637500301003456</v>
      </c>
      <c r="I23" s="6">
        <v>6.8462500348687172</v>
      </c>
      <c r="J23" s="35">
        <v>6.5275000408291817</v>
      </c>
      <c r="K23" s="5">
        <v>13.326249644160271</v>
      </c>
      <c r="L23" s="6">
        <v>13.348750025033951</v>
      </c>
      <c r="M23" s="35">
        <v>12.758750095963478</v>
      </c>
      <c r="N23" s="5">
        <v>14.2000002562999</v>
      </c>
      <c r="O23" s="6">
        <v>14.4612503945827</v>
      </c>
      <c r="P23" s="35">
        <v>13.8962497711181</v>
      </c>
      <c r="Q23" s="7">
        <v>41.118040345821299</v>
      </c>
      <c r="R23" s="6">
        <v>37.4197694524496</v>
      </c>
      <c r="S23" s="26">
        <v>39.042536023054801</v>
      </c>
      <c r="T23" s="69">
        <f t="shared" si="0"/>
        <v>72</v>
      </c>
      <c r="U23" s="23">
        <f t="shared" si="1"/>
        <v>6.4281089084454304E-2</v>
      </c>
      <c r="V23" s="8">
        <f t="shared" si="2"/>
        <v>5.8400863661193923E-2</v>
      </c>
      <c r="W23" s="11">
        <f t="shared" si="3"/>
        <v>6.3751242169427583E-2</v>
      </c>
      <c r="X23" s="23">
        <f t="shared" si="6"/>
        <v>4.0169209644897315</v>
      </c>
      <c r="Y23" s="8">
        <f t="shared" si="6"/>
        <v>4.4331805157435493</v>
      </c>
      <c r="Z23" s="11">
        <f t="shared" si="6"/>
        <v>6.3743548880925625</v>
      </c>
    </row>
    <row r="24" spans="1:26" x14ac:dyDescent="0.3">
      <c r="A24" s="69" t="s">
        <v>543</v>
      </c>
      <c r="B24" s="11" t="s">
        <v>113</v>
      </c>
      <c r="C24" s="8" t="s">
        <v>114</v>
      </c>
      <c r="D24" s="23" t="s">
        <v>115</v>
      </c>
      <c r="E24" s="23" t="s">
        <v>82</v>
      </c>
      <c r="F24" s="8">
        <v>4</v>
      </c>
      <c r="G24" s="11" t="s">
        <v>566</v>
      </c>
      <c r="H24" s="5">
        <v>4.9475000239908695</v>
      </c>
      <c r="I24" s="6">
        <v>5.0087499432265759</v>
      </c>
      <c r="J24" s="35">
        <v>4.8012500628829002</v>
      </c>
      <c r="K24" s="5">
        <v>11.54750008136034</v>
      </c>
      <c r="L24" s="6">
        <v>11.435000039637089</v>
      </c>
      <c r="M24" s="35">
        <v>11.336249858140945</v>
      </c>
      <c r="N24" s="5">
        <v>13.898749649524689</v>
      </c>
      <c r="O24" s="6">
        <v>13.25250007212162</v>
      </c>
      <c r="P24" s="35">
        <v>13.4637501090765</v>
      </c>
      <c r="Q24" s="7">
        <v>44.569250720461</v>
      </c>
      <c r="R24" s="6">
        <v>44.678254577789303</v>
      </c>
      <c r="S24" s="26">
        <v>44.861959654178598</v>
      </c>
      <c r="T24" s="69">
        <f t="shared" si="0"/>
        <v>72</v>
      </c>
      <c r="U24" s="23">
        <f t="shared" si="1"/>
        <v>8.0409270416466352E-2</v>
      </c>
      <c r="V24" s="8">
        <f t="shared" si="2"/>
        <v>8.1398947717026077E-2</v>
      </c>
      <c r="W24" s="11">
        <f t="shared" si="3"/>
        <v>8.2445621008509162E-2</v>
      </c>
      <c r="X24" s="23">
        <f t="shared" si="6"/>
        <v>5.0247699389608069</v>
      </c>
      <c r="Y24" s="8">
        <f t="shared" si="6"/>
        <v>6.1789536386758748</v>
      </c>
      <c r="Z24" s="11">
        <f t="shared" si="6"/>
        <v>8.2435671744360608</v>
      </c>
    </row>
    <row r="25" spans="1:26" x14ac:dyDescent="0.3">
      <c r="A25" s="69" t="s">
        <v>543</v>
      </c>
      <c r="B25" s="11" t="s">
        <v>86</v>
      </c>
      <c r="C25" s="8" t="s">
        <v>86</v>
      </c>
      <c r="D25" s="23" t="s">
        <v>86</v>
      </c>
      <c r="E25" s="23" t="s">
        <v>87</v>
      </c>
      <c r="F25" s="8">
        <v>4</v>
      </c>
      <c r="G25" s="11" t="s">
        <v>559</v>
      </c>
      <c r="H25" s="5">
        <v>6.1087499372661114</v>
      </c>
      <c r="I25" s="6">
        <v>6.3262498937547207</v>
      </c>
      <c r="J25" s="35">
        <v>6.4362498000264168</v>
      </c>
      <c r="K25" s="5">
        <v>13.213749974966049</v>
      </c>
      <c r="L25" s="6">
        <v>13.108749687671661</v>
      </c>
      <c r="M25" s="35">
        <v>12.539999932050705</v>
      </c>
      <c r="N25" s="5">
        <v>14.971250295639038</v>
      </c>
      <c r="O25" s="6">
        <v>13.96000012755394</v>
      </c>
      <c r="P25" s="35">
        <v>14.224999770522118</v>
      </c>
      <c r="Q25" s="7">
        <v>17.6077521613832</v>
      </c>
      <c r="R25" s="6">
        <v>15.815684556434499</v>
      </c>
      <c r="S25" s="26">
        <v>21.051757925072</v>
      </c>
      <c r="T25" s="69">
        <f t="shared" si="0"/>
        <v>72</v>
      </c>
      <c r="U25" s="23">
        <f t="shared" si="1"/>
        <v>2.776109512619707E-2</v>
      </c>
      <c r="V25" s="8">
        <f t="shared" si="2"/>
        <v>2.5135381795330914E-2</v>
      </c>
      <c r="W25" s="11">
        <f t="shared" si="3"/>
        <v>3.4974345492994323E-2</v>
      </c>
      <c r="X25" s="23">
        <f t="shared" si="6"/>
        <v>1.7347889806767944</v>
      </c>
      <c r="Y25" s="8">
        <f t="shared" si="6"/>
        <v>1.9080143313852851</v>
      </c>
      <c r="Z25" s="11">
        <f t="shared" si="6"/>
        <v>3.4970124904957314</v>
      </c>
    </row>
    <row r="26" spans="1:26" x14ac:dyDescent="0.3">
      <c r="A26" s="69" t="s">
        <v>543</v>
      </c>
      <c r="B26" s="11" t="s">
        <v>343</v>
      </c>
      <c r="C26" s="8"/>
      <c r="D26" s="23" t="s">
        <v>344</v>
      </c>
      <c r="E26" s="23" t="s">
        <v>120</v>
      </c>
      <c r="F26" s="8">
        <v>3</v>
      </c>
      <c r="G26" s="11" t="s">
        <v>567</v>
      </c>
      <c r="H26" s="36">
        <v>5.0112500786781311</v>
      </c>
      <c r="I26" s="10">
        <v>5.7000000029802322</v>
      </c>
      <c r="J26" s="37">
        <v>5.149999912828207</v>
      </c>
      <c r="K26" s="36">
        <v>8.8012497648596693</v>
      </c>
      <c r="L26" s="10">
        <v>7.1675001904368001</v>
      </c>
      <c r="M26" s="37">
        <v>8.3862499818204999</v>
      </c>
      <c r="N26" s="23" t="s">
        <v>32</v>
      </c>
      <c r="O26" s="8" t="s">
        <v>32</v>
      </c>
      <c r="P26" s="11" t="s">
        <v>32</v>
      </c>
      <c r="Q26" s="49">
        <v>13.028904872852101</v>
      </c>
      <c r="R26" s="10">
        <v>13.153295351788818</v>
      </c>
      <c r="S26" s="42">
        <v>14.743841726386099</v>
      </c>
      <c r="T26" s="69">
        <f t="shared" si="0"/>
        <v>48</v>
      </c>
      <c r="U26" s="23">
        <f t="shared" si="1"/>
        <v>6.1681130620373122E-2</v>
      </c>
      <c r="V26" s="8">
        <f t="shared" si="2"/>
        <v>7.6463754228069489E-2</v>
      </c>
      <c r="W26" s="11">
        <f t="shared" si="3"/>
        <v>7.3254045602163392E-2</v>
      </c>
      <c r="X26" s="23" t="e">
        <f>U26/AVERAGE($U$172:$W$173)</f>
        <v>#DIV/0!</v>
      </c>
      <c r="Y26" s="8" t="e">
        <f>V26/AVERAGE($U$172:$W$173)</f>
        <v>#DIV/0!</v>
      </c>
      <c r="Z26" s="11" t="e">
        <f>W26/AVERAGE($U$172:$W$173)</f>
        <v>#DIV/0!</v>
      </c>
    </row>
    <row r="27" spans="1:26" ht="15.6" x14ac:dyDescent="0.3">
      <c r="A27" s="69" t="s">
        <v>543</v>
      </c>
      <c r="B27" s="11" t="s">
        <v>346</v>
      </c>
      <c r="C27" s="8"/>
      <c r="D27" s="23" t="s">
        <v>346</v>
      </c>
      <c r="E27" s="23" t="s">
        <v>120</v>
      </c>
      <c r="F27" s="8">
        <v>3</v>
      </c>
      <c r="G27" s="58" t="s">
        <v>568</v>
      </c>
      <c r="H27" s="36">
        <v>6.4874999225139618</v>
      </c>
      <c r="I27" s="10">
        <v>6.3012499362230301</v>
      </c>
      <c r="J27" s="37">
        <v>6.8174999207258224</v>
      </c>
      <c r="K27" s="36">
        <v>12.203750059008501</v>
      </c>
      <c r="L27" s="10">
        <v>12.592500120401301</v>
      </c>
      <c r="M27" s="37">
        <v>12.632500052452</v>
      </c>
      <c r="N27" s="23" t="s">
        <v>32</v>
      </c>
      <c r="O27" s="8" t="s">
        <v>32</v>
      </c>
      <c r="P27" s="11" t="s">
        <v>32</v>
      </c>
      <c r="Q27" s="49">
        <v>131.35594743353101</v>
      </c>
      <c r="R27" s="10">
        <v>137.40917946019999</v>
      </c>
      <c r="S27" s="42">
        <v>135.068228095157</v>
      </c>
      <c r="T27" s="69">
        <f t="shared" si="0"/>
        <v>48</v>
      </c>
      <c r="U27" s="23">
        <f t="shared" si="1"/>
        <v>0.44848218374949211</v>
      </c>
      <c r="V27" s="8">
        <f t="shared" si="2"/>
        <v>0.45466606494071454</v>
      </c>
      <c r="W27" s="11">
        <f t="shared" si="3"/>
        <v>0.44550507135805079</v>
      </c>
      <c r="X27" s="23" t="e">
        <f t="shared" ref="X27:Z63" si="7">U27/AVERAGE($U$172:$W$173)</f>
        <v>#DIV/0!</v>
      </c>
      <c r="Y27" s="8" t="e">
        <f t="shared" si="7"/>
        <v>#DIV/0!</v>
      </c>
      <c r="Z27" s="11" t="e">
        <f t="shared" si="7"/>
        <v>#DIV/0!</v>
      </c>
    </row>
    <row r="28" spans="1:26" x14ac:dyDescent="0.3">
      <c r="A28" s="69" t="s">
        <v>543</v>
      </c>
      <c r="B28" s="11" t="s">
        <v>348</v>
      </c>
      <c r="C28" s="8"/>
      <c r="D28" s="23" t="s">
        <v>349</v>
      </c>
      <c r="E28" s="23" t="s">
        <v>120</v>
      </c>
      <c r="F28" s="8">
        <v>3</v>
      </c>
      <c r="G28" s="11" t="s">
        <v>569</v>
      </c>
      <c r="H28" s="36">
        <v>4.0337500162422657</v>
      </c>
      <c r="I28" s="10">
        <v>4.0124999359250069</v>
      </c>
      <c r="J28" s="37">
        <v>3.9024999365210533</v>
      </c>
      <c r="K28" s="36">
        <v>6.9475000724196434</v>
      </c>
      <c r="L28" s="10">
        <v>7.682500034570694</v>
      </c>
      <c r="M28" s="37">
        <v>7.6150000095367432</v>
      </c>
      <c r="N28" s="23" t="s">
        <v>32</v>
      </c>
      <c r="O28" s="8" t="s">
        <v>32</v>
      </c>
      <c r="P28" s="11" t="s">
        <v>32</v>
      </c>
      <c r="Q28" s="49">
        <v>26.349306850217282</v>
      </c>
      <c r="R28" s="10">
        <v>4.4701242909033132</v>
      </c>
      <c r="S28" s="42">
        <v>20.146186904122125</v>
      </c>
      <c r="T28" s="69">
        <f t="shared" si="0"/>
        <v>48</v>
      </c>
      <c r="U28" s="23">
        <f t="shared" si="1"/>
        <v>0.15802630787787134</v>
      </c>
      <c r="V28" s="8">
        <f t="shared" si="2"/>
        <v>2.4244084340970157E-2</v>
      </c>
      <c r="W28" s="11">
        <f t="shared" si="3"/>
        <v>0.11023302078623215</v>
      </c>
      <c r="X28" s="23" t="e">
        <f t="shared" si="7"/>
        <v>#DIV/0!</v>
      </c>
      <c r="Y28" s="8" t="e">
        <f t="shared" si="7"/>
        <v>#DIV/0!</v>
      </c>
      <c r="Z28" s="11" t="e">
        <f t="shared" si="7"/>
        <v>#DIV/0!</v>
      </c>
    </row>
    <row r="29" spans="1:26" x14ac:dyDescent="0.3">
      <c r="A29" s="69" t="s">
        <v>543</v>
      </c>
      <c r="B29" s="11" t="s">
        <v>351</v>
      </c>
      <c r="C29" s="8"/>
      <c r="D29" s="23" t="s">
        <v>351</v>
      </c>
      <c r="E29" s="23" t="s">
        <v>120</v>
      </c>
      <c r="F29" s="8">
        <v>3</v>
      </c>
      <c r="G29" s="59" t="s">
        <v>570</v>
      </c>
      <c r="H29" s="36">
        <v>5.0350000150501728</v>
      </c>
      <c r="I29" s="10">
        <v>5.4224999621510506</v>
      </c>
      <c r="J29" s="37">
        <v>5.9037500992417336</v>
      </c>
      <c r="K29" s="36">
        <v>12.228750132024199</v>
      </c>
      <c r="L29" s="10">
        <v>11.7950000315904</v>
      </c>
      <c r="M29" s="37">
        <v>12.417499952018201</v>
      </c>
      <c r="N29" s="23" t="s">
        <v>32</v>
      </c>
      <c r="O29" s="8" t="s">
        <v>32</v>
      </c>
      <c r="P29" s="11" t="s">
        <v>32</v>
      </c>
      <c r="Q29" s="49">
        <v>66.331159719600706</v>
      </c>
      <c r="R29" s="10">
        <v>65.014507735723996</v>
      </c>
      <c r="S29" s="42">
        <v>76.6782363865549</v>
      </c>
      <c r="T29" s="69">
        <f t="shared" si="0"/>
        <v>48</v>
      </c>
      <c r="U29" s="23">
        <f t="shared" si="1"/>
        <v>0.22600824220067237</v>
      </c>
      <c r="V29" s="8">
        <f t="shared" si="2"/>
        <v>0.22966831836087487</v>
      </c>
      <c r="W29" s="11">
        <f t="shared" si="3"/>
        <v>0.25729225113362592</v>
      </c>
      <c r="X29" s="23" t="e">
        <f t="shared" si="7"/>
        <v>#DIV/0!</v>
      </c>
      <c r="Y29" s="8" t="e">
        <f t="shared" si="7"/>
        <v>#DIV/0!</v>
      </c>
      <c r="Z29" s="11" t="e">
        <f t="shared" si="7"/>
        <v>#DIV/0!</v>
      </c>
    </row>
    <row r="30" spans="1:26" ht="15.6" x14ac:dyDescent="0.3">
      <c r="A30" s="69" t="s">
        <v>543</v>
      </c>
      <c r="B30" s="11" t="s">
        <v>353</v>
      </c>
      <c r="C30" s="8"/>
      <c r="D30" s="23" t="s">
        <v>354</v>
      </c>
      <c r="E30" s="23" t="s">
        <v>120</v>
      </c>
      <c r="F30" s="8">
        <v>3</v>
      </c>
      <c r="G30" s="58" t="s">
        <v>571</v>
      </c>
      <c r="H30" s="36">
        <v>5.2450000308454037</v>
      </c>
      <c r="I30" s="10">
        <v>4.6350000891834497</v>
      </c>
      <c r="J30" s="37">
        <v>2.1862499881535769</v>
      </c>
      <c r="K30" s="36">
        <v>11.591250121593401</v>
      </c>
      <c r="L30" s="10">
        <v>11.342500008642601</v>
      </c>
      <c r="M30" s="37">
        <v>10.641250014305101</v>
      </c>
      <c r="N30" s="23" t="s">
        <v>32</v>
      </c>
      <c r="O30" s="8" t="s">
        <v>32</v>
      </c>
      <c r="P30" s="11" t="s">
        <v>32</v>
      </c>
      <c r="Q30" s="49">
        <v>103.57408421671001</v>
      </c>
      <c r="R30" s="10">
        <v>102.05341841192801</v>
      </c>
      <c r="S30" s="42">
        <v>100.726725284327</v>
      </c>
      <c r="T30" s="69">
        <f t="shared" si="0"/>
        <v>48</v>
      </c>
      <c r="U30" s="23">
        <f t="shared" si="1"/>
        <v>0.37231418501817909</v>
      </c>
      <c r="V30" s="8">
        <f t="shared" si="2"/>
        <v>0.37489316851872295</v>
      </c>
      <c r="W30" s="11">
        <f t="shared" si="3"/>
        <v>0.39440355984541059</v>
      </c>
      <c r="X30" s="23" t="e">
        <f t="shared" si="7"/>
        <v>#DIV/0!</v>
      </c>
      <c r="Y30" s="8" t="e">
        <f t="shared" si="7"/>
        <v>#DIV/0!</v>
      </c>
      <c r="Z30" s="11" t="e">
        <f t="shared" si="7"/>
        <v>#DIV/0!</v>
      </c>
    </row>
    <row r="31" spans="1:26" x14ac:dyDescent="0.3">
      <c r="A31" s="69" t="s">
        <v>543</v>
      </c>
      <c r="B31" s="11" t="s">
        <v>356</v>
      </c>
      <c r="C31" s="8"/>
      <c r="D31" s="23" t="s">
        <v>357</v>
      </c>
      <c r="E31" s="23" t="s">
        <v>120</v>
      </c>
      <c r="F31" s="8">
        <v>3</v>
      </c>
      <c r="G31" s="11" t="s">
        <v>572</v>
      </c>
      <c r="H31" s="36">
        <v>3.4775000065565109</v>
      </c>
      <c r="I31" s="10">
        <v>3.4774999134242535</v>
      </c>
      <c r="J31" s="37">
        <v>3.7787499837577343</v>
      </c>
      <c r="K31" s="36">
        <v>7.8287499025464058</v>
      </c>
      <c r="L31" s="10">
        <v>6.8799998611211777</v>
      </c>
      <c r="M31" s="37">
        <v>6.0062498785555363</v>
      </c>
      <c r="N31" s="23" t="s">
        <v>32</v>
      </c>
      <c r="O31" s="8" t="s">
        <v>32</v>
      </c>
      <c r="P31" s="11" t="s">
        <v>32</v>
      </c>
      <c r="Q31" s="49">
        <v>28.2689421455418</v>
      </c>
      <c r="R31" s="10">
        <v>25.364974516889411</v>
      </c>
      <c r="S31" s="42">
        <v>25.157908360697341</v>
      </c>
      <c r="T31" s="69">
        <f t="shared" si="0"/>
        <v>48</v>
      </c>
      <c r="U31" s="23">
        <f t="shared" si="1"/>
        <v>0.15045474744498558</v>
      </c>
      <c r="V31" s="8">
        <f t="shared" si="2"/>
        <v>0.15361540109558888</v>
      </c>
      <c r="W31" s="11">
        <f t="shared" si="3"/>
        <v>0.17452590266654355</v>
      </c>
      <c r="X31" s="23" t="e">
        <f t="shared" si="7"/>
        <v>#DIV/0!</v>
      </c>
      <c r="Y31" s="8" t="e">
        <f t="shared" si="7"/>
        <v>#DIV/0!</v>
      </c>
      <c r="Z31" s="11" t="e">
        <f t="shared" si="7"/>
        <v>#DIV/0!</v>
      </c>
    </row>
    <row r="32" spans="1:26" x14ac:dyDescent="0.3">
      <c r="A32" s="69" t="s">
        <v>543</v>
      </c>
      <c r="B32" s="11" t="s">
        <v>359</v>
      </c>
      <c r="C32" s="8"/>
      <c r="D32" s="23" t="s">
        <v>360</v>
      </c>
      <c r="E32" s="23" t="s">
        <v>120</v>
      </c>
      <c r="F32" s="8">
        <v>3</v>
      </c>
      <c r="G32" s="11" t="s">
        <v>573</v>
      </c>
      <c r="H32" s="36">
        <v>5.2500001154839993</v>
      </c>
      <c r="I32" s="10">
        <v>5.7387501001358032</v>
      </c>
      <c r="J32" s="37">
        <v>6.2087501399219036</v>
      </c>
      <c r="K32" s="36">
        <v>9.3149999156594276</v>
      </c>
      <c r="L32" s="10">
        <v>9.3449998646974564</v>
      </c>
      <c r="M32" s="37">
        <v>9.3674998730421066</v>
      </c>
      <c r="N32" s="23" t="s">
        <v>32</v>
      </c>
      <c r="O32" s="8" t="s">
        <v>32</v>
      </c>
      <c r="P32" s="11" t="s">
        <v>32</v>
      </c>
      <c r="Q32" s="49">
        <v>23.317524040684098</v>
      </c>
      <c r="R32" s="10">
        <v>23.399119089603801</v>
      </c>
      <c r="S32" s="42">
        <v>24.708472073859799</v>
      </c>
      <c r="T32" s="69">
        <f t="shared" si="0"/>
        <v>48</v>
      </c>
      <c r="U32" s="23">
        <f t="shared" si="1"/>
        <v>0.10430096730992744</v>
      </c>
      <c r="V32" s="8">
        <f t="shared" si="2"/>
        <v>0.10432994216332424</v>
      </c>
      <c r="W32" s="11">
        <f t="shared" si="3"/>
        <v>0.10990335561219715</v>
      </c>
      <c r="X32" s="23" t="e">
        <f t="shared" si="7"/>
        <v>#DIV/0!</v>
      </c>
      <c r="Y32" s="8" t="e">
        <f t="shared" si="7"/>
        <v>#DIV/0!</v>
      </c>
      <c r="Z32" s="11" t="e">
        <f t="shared" si="7"/>
        <v>#DIV/0!</v>
      </c>
    </row>
    <row r="33" spans="1:26" x14ac:dyDescent="0.3">
      <c r="A33" s="69" t="s">
        <v>543</v>
      </c>
      <c r="B33" s="11" t="s">
        <v>362</v>
      </c>
      <c r="C33" s="8"/>
      <c r="D33" s="23" t="s">
        <v>363</v>
      </c>
      <c r="E33" s="23" t="s">
        <v>120</v>
      </c>
      <c r="F33" s="8">
        <v>3</v>
      </c>
      <c r="G33" s="11" t="s">
        <v>574</v>
      </c>
      <c r="H33" s="36">
        <v>4.7999999485909939</v>
      </c>
      <c r="I33" s="10">
        <v>5.7862499728798866</v>
      </c>
      <c r="J33" s="37">
        <v>6.3199999742209911</v>
      </c>
      <c r="K33" s="36">
        <v>8.3412500098347664</v>
      </c>
      <c r="L33" s="10">
        <v>10.030000098049641</v>
      </c>
      <c r="M33" s="37">
        <v>10.231250151991844</v>
      </c>
      <c r="N33" s="23" t="s">
        <v>32</v>
      </c>
      <c r="O33" s="8" t="s">
        <v>32</v>
      </c>
      <c r="P33" s="11" t="s">
        <v>32</v>
      </c>
      <c r="Q33" s="49">
        <v>37.296801661797097</v>
      </c>
      <c r="R33" s="10">
        <v>44.150642371694566</v>
      </c>
      <c r="S33" s="42">
        <v>34.348275373030418</v>
      </c>
      <c r="T33" s="69">
        <f t="shared" si="0"/>
        <v>48</v>
      </c>
      <c r="U33" s="23">
        <f t="shared" si="1"/>
        <v>0.18630701642350886</v>
      </c>
      <c r="V33" s="8">
        <f t="shared" si="2"/>
        <v>0.18341077575645526</v>
      </c>
      <c r="W33" s="11">
        <f t="shared" si="3"/>
        <v>0.13988301715644288</v>
      </c>
      <c r="X33" s="23" t="e">
        <f t="shared" si="7"/>
        <v>#DIV/0!</v>
      </c>
      <c r="Y33" s="8" t="e">
        <f t="shared" si="7"/>
        <v>#DIV/0!</v>
      </c>
      <c r="Z33" s="11" t="e">
        <f t="shared" si="7"/>
        <v>#DIV/0!</v>
      </c>
    </row>
    <row r="34" spans="1:26" x14ac:dyDescent="0.3">
      <c r="A34" s="69" t="s">
        <v>543</v>
      </c>
      <c r="B34" s="11" t="s">
        <v>365</v>
      </c>
      <c r="C34" s="8"/>
      <c r="D34" s="23" t="s">
        <v>366</v>
      </c>
      <c r="E34" s="23" t="s">
        <v>120</v>
      </c>
      <c r="F34" s="8">
        <v>3</v>
      </c>
      <c r="G34" s="11" t="s">
        <v>575</v>
      </c>
      <c r="H34" s="36">
        <v>4.6424999833106995</v>
      </c>
      <c r="I34" s="10">
        <v>5.3762501105666161</v>
      </c>
      <c r="J34" s="37">
        <v>5.4162499494850636</v>
      </c>
      <c r="K34" s="36">
        <v>5.4012499079108203</v>
      </c>
      <c r="L34" s="10">
        <v>6.5162500143051103</v>
      </c>
      <c r="M34" s="37">
        <v>6.0087501108646002</v>
      </c>
      <c r="N34" s="23" t="s">
        <v>32</v>
      </c>
      <c r="O34" s="8" t="s">
        <v>32</v>
      </c>
      <c r="P34" s="11" t="s">
        <v>32</v>
      </c>
      <c r="Q34" s="49">
        <v>13.799264322710499</v>
      </c>
      <c r="R34" s="10">
        <v>13.520390009316101</v>
      </c>
      <c r="S34" s="42">
        <v>12.2646814294609</v>
      </c>
      <c r="T34" s="69">
        <f t="shared" si="0"/>
        <v>48</v>
      </c>
      <c r="U34" s="23">
        <f t="shared" si="1"/>
        <v>0.10645116530110708</v>
      </c>
      <c r="V34" s="8">
        <f t="shared" si="2"/>
        <v>8.64530339512425E-2</v>
      </c>
      <c r="W34" s="11">
        <f t="shared" si="3"/>
        <v>8.5047369829908306E-2</v>
      </c>
      <c r="X34" s="23" t="e">
        <f t="shared" si="7"/>
        <v>#DIV/0!</v>
      </c>
      <c r="Y34" s="8" t="e">
        <f t="shared" si="7"/>
        <v>#DIV/0!</v>
      </c>
      <c r="Z34" s="11" t="e">
        <f t="shared" si="7"/>
        <v>#DIV/0!</v>
      </c>
    </row>
    <row r="35" spans="1:26" x14ac:dyDescent="0.3">
      <c r="A35" s="69" t="s">
        <v>543</v>
      </c>
      <c r="B35" s="11" t="s">
        <v>368</v>
      </c>
      <c r="C35" s="8"/>
      <c r="D35" s="23" t="s">
        <v>369</v>
      </c>
      <c r="E35" s="23" t="s">
        <v>120</v>
      </c>
      <c r="F35" s="8">
        <v>3</v>
      </c>
      <c r="G35" s="11" t="s">
        <v>576</v>
      </c>
      <c r="H35" s="36">
        <v>5.5625000037252903</v>
      </c>
      <c r="I35" s="10">
        <v>5.5699999444186687</v>
      </c>
      <c r="J35" s="37">
        <v>5.6312498636543751</v>
      </c>
      <c r="K35" s="36">
        <v>9.4687500968575478</v>
      </c>
      <c r="L35" s="10">
        <v>7.2312500327825546</v>
      </c>
      <c r="M35" s="37">
        <v>10.752500034868717</v>
      </c>
      <c r="N35" s="23" t="s">
        <v>32</v>
      </c>
      <c r="O35" s="8" t="s">
        <v>32</v>
      </c>
      <c r="P35" s="11" t="s">
        <v>32</v>
      </c>
      <c r="Q35" s="49">
        <v>3.982414782611948</v>
      </c>
      <c r="R35" s="10">
        <v>3.5844481224059859</v>
      </c>
      <c r="S35" s="42">
        <v>15.998918571862783</v>
      </c>
      <c r="T35" s="69">
        <f t="shared" si="0"/>
        <v>48</v>
      </c>
      <c r="U35" s="23">
        <f t="shared" si="1"/>
        <v>1.7524377301980688E-2</v>
      </c>
      <c r="V35" s="8">
        <f t="shared" si="2"/>
        <v>2.0653691190757981E-2</v>
      </c>
      <c r="W35" s="11">
        <f t="shared" si="3"/>
        <v>6.199689421057402E-2</v>
      </c>
      <c r="X35" s="23" t="e">
        <f t="shared" si="7"/>
        <v>#DIV/0!</v>
      </c>
      <c r="Y35" s="8" t="e">
        <f t="shared" si="7"/>
        <v>#DIV/0!</v>
      </c>
      <c r="Z35" s="11" t="e">
        <f t="shared" si="7"/>
        <v>#DIV/0!</v>
      </c>
    </row>
    <row r="36" spans="1:26" x14ac:dyDescent="0.3">
      <c r="A36" s="69" t="s">
        <v>543</v>
      </c>
      <c r="B36" s="11" t="s">
        <v>371</v>
      </c>
      <c r="C36" s="8"/>
      <c r="D36" s="23" t="s">
        <v>372</v>
      </c>
      <c r="E36" s="23" t="s">
        <v>120</v>
      </c>
      <c r="F36" s="8">
        <v>3</v>
      </c>
      <c r="G36" s="59" t="s">
        <v>577</v>
      </c>
      <c r="H36" s="36">
        <v>4.8100000247359276</v>
      </c>
      <c r="I36" s="10">
        <v>5.2775000222027302</v>
      </c>
      <c r="J36" s="37">
        <v>5.6650000624358654</v>
      </c>
      <c r="K36" s="36">
        <v>9.2262499034404755</v>
      </c>
      <c r="L36" s="10">
        <v>9.4962501898407936</v>
      </c>
      <c r="M36" s="37">
        <v>9.0650001540780067</v>
      </c>
      <c r="N36" s="23" t="s">
        <v>32</v>
      </c>
      <c r="O36" s="8" t="s">
        <v>32</v>
      </c>
      <c r="P36" s="11" t="s">
        <v>32</v>
      </c>
      <c r="Q36" s="49">
        <v>74.841813098171599</v>
      </c>
      <c r="R36" s="10">
        <v>92.305019812504895</v>
      </c>
      <c r="S36" s="42">
        <v>88.173517560870806</v>
      </c>
      <c r="T36" s="69">
        <f t="shared" si="0"/>
        <v>48</v>
      </c>
      <c r="U36" s="23">
        <f t="shared" si="1"/>
        <v>0.33799310789615905</v>
      </c>
      <c r="V36" s="8">
        <f t="shared" si="2"/>
        <v>0.40500644099523075</v>
      </c>
      <c r="W36" s="11">
        <f t="shared" si="3"/>
        <v>0.40528367375521052</v>
      </c>
      <c r="X36" s="23" t="e">
        <f t="shared" si="7"/>
        <v>#DIV/0!</v>
      </c>
      <c r="Y36" s="8" t="e">
        <f t="shared" si="7"/>
        <v>#DIV/0!</v>
      </c>
      <c r="Z36" s="11" t="e">
        <f t="shared" si="7"/>
        <v>#DIV/0!</v>
      </c>
    </row>
    <row r="37" spans="1:26" x14ac:dyDescent="0.3">
      <c r="A37" s="69" t="s">
        <v>543</v>
      </c>
      <c r="B37" s="11" t="s">
        <v>374</v>
      </c>
      <c r="C37" s="8"/>
      <c r="D37" s="23" t="s">
        <v>375</v>
      </c>
      <c r="E37" s="23" t="s">
        <v>120</v>
      </c>
      <c r="F37" s="8">
        <v>3</v>
      </c>
      <c r="G37" s="11" t="s">
        <v>578</v>
      </c>
      <c r="H37" s="36">
        <v>5.3874999284744263</v>
      </c>
      <c r="I37" s="10">
        <v>5.156249925494194</v>
      </c>
      <c r="J37" s="37">
        <v>6.0274998657405376</v>
      </c>
      <c r="K37" s="36">
        <v>10.597500018775463</v>
      </c>
      <c r="L37" s="10">
        <v>8.8962500914931297</v>
      </c>
      <c r="M37" s="37">
        <v>11.253750137984753</v>
      </c>
      <c r="N37" s="23" t="s">
        <v>32</v>
      </c>
      <c r="O37" s="8" t="s">
        <v>32</v>
      </c>
      <c r="P37" s="11" t="s">
        <v>32</v>
      </c>
      <c r="Q37" s="49">
        <v>33.095270997920068</v>
      </c>
      <c r="R37" s="10">
        <v>36.463190058719434</v>
      </c>
      <c r="S37" s="42">
        <v>43.397910234953301</v>
      </c>
      <c r="T37" s="69">
        <f t="shared" si="0"/>
        <v>48</v>
      </c>
      <c r="U37" s="23">
        <f t="shared" si="1"/>
        <v>0.13012216300733495</v>
      </c>
      <c r="V37" s="8">
        <f t="shared" si="2"/>
        <v>0.17077977464154001</v>
      </c>
      <c r="W37" s="11">
        <f t="shared" si="3"/>
        <v>0.16067943908638527</v>
      </c>
      <c r="X37" s="23" t="e">
        <f t="shared" si="7"/>
        <v>#DIV/0!</v>
      </c>
      <c r="Y37" s="8" t="e">
        <f t="shared" si="7"/>
        <v>#DIV/0!</v>
      </c>
      <c r="Z37" s="11" t="e">
        <f t="shared" si="7"/>
        <v>#DIV/0!</v>
      </c>
    </row>
    <row r="38" spans="1:26" x14ac:dyDescent="0.3">
      <c r="A38" s="69" t="s">
        <v>543</v>
      </c>
      <c r="B38" s="11" t="s">
        <v>377</v>
      </c>
      <c r="C38" s="8"/>
      <c r="D38" s="23" t="s">
        <v>377</v>
      </c>
      <c r="E38" s="23" t="s">
        <v>120</v>
      </c>
      <c r="F38" s="8">
        <v>3</v>
      </c>
      <c r="G38" s="11" t="s">
        <v>579</v>
      </c>
      <c r="H38" s="36">
        <v>3.3925000578165054</v>
      </c>
      <c r="I38" s="10">
        <v>3.5225000232458115</v>
      </c>
      <c r="J38" s="37">
        <v>3.7212499417364597</v>
      </c>
      <c r="K38" s="36">
        <v>5.5850000120699406</v>
      </c>
      <c r="L38" s="10">
        <v>6.2787500210106373</v>
      </c>
      <c r="M38" s="37">
        <v>6.927499920129776</v>
      </c>
      <c r="N38" s="23" t="s">
        <v>32</v>
      </c>
      <c r="O38" s="8" t="s">
        <v>32</v>
      </c>
      <c r="P38" s="11" t="s">
        <v>32</v>
      </c>
      <c r="Q38" s="49">
        <v>15.6322243581435</v>
      </c>
      <c r="R38" s="10">
        <v>14.111950862632501</v>
      </c>
      <c r="S38" s="42">
        <v>18.0488840350434</v>
      </c>
      <c r="T38" s="69">
        <f t="shared" si="0"/>
        <v>48</v>
      </c>
      <c r="U38" s="23">
        <f t="shared" si="1"/>
        <v>0.11662357747209899</v>
      </c>
      <c r="V38" s="8">
        <f t="shared" si="2"/>
        <v>9.3648887221511393E-2</v>
      </c>
      <c r="W38" s="11">
        <f t="shared" si="3"/>
        <v>0.10855818743616626</v>
      </c>
      <c r="X38" s="23" t="e">
        <f t="shared" si="7"/>
        <v>#DIV/0!</v>
      </c>
      <c r="Y38" s="8" t="e">
        <f t="shared" si="7"/>
        <v>#DIV/0!</v>
      </c>
      <c r="Z38" s="11" t="e">
        <f t="shared" si="7"/>
        <v>#DIV/0!</v>
      </c>
    </row>
    <row r="39" spans="1:26" x14ac:dyDescent="0.3">
      <c r="A39" s="69" t="s">
        <v>543</v>
      </c>
      <c r="B39" s="11" t="s">
        <v>379</v>
      </c>
      <c r="C39" s="8"/>
      <c r="D39" s="23" t="s">
        <v>380</v>
      </c>
      <c r="E39" s="23" t="s">
        <v>120</v>
      </c>
      <c r="F39" s="8">
        <v>3</v>
      </c>
      <c r="G39" s="11" t="s">
        <v>580</v>
      </c>
      <c r="H39" s="36">
        <v>6.503749918192625</v>
      </c>
      <c r="I39" s="10">
        <v>6.3074999488890171</v>
      </c>
      <c r="J39" s="37">
        <v>6.7724999040365219</v>
      </c>
      <c r="K39" s="36">
        <v>9.5987498760223389</v>
      </c>
      <c r="L39" s="10">
        <v>10.733750090003014</v>
      </c>
      <c r="M39" s="37">
        <v>10.024999968707499</v>
      </c>
      <c r="N39" s="23" t="s">
        <v>32</v>
      </c>
      <c r="O39" s="8" t="s">
        <v>32</v>
      </c>
      <c r="P39" s="11" t="s">
        <v>32</v>
      </c>
      <c r="Q39" s="49">
        <v>26.291759115963099</v>
      </c>
      <c r="R39" s="10">
        <v>20.301091819260201</v>
      </c>
      <c r="S39" s="42">
        <v>23.700153732631399</v>
      </c>
      <c r="T39" s="69">
        <f t="shared" si="0"/>
        <v>48</v>
      </c>
      <c r="U39" s="23">
        <f t="shared" si="1"/>
        <v>0.11412839977231422</v>
      </c>
      <c r="V39" s="8">
        <f t="shared" si="2"/>
        <v>7.8805526373333976E-2</v>
      </c>
      <c r="W39" s="11">
        <f t="shared" si="3"/>
        <v>9.8504379911097936E-2</v>
      </c>
      <c r="X39" s="23" t="e">
        <f t="shared" si="7"/>
        <v>#DIV/0!</v>
      </c>
      <c r="Y39" s="8" t="e">
        <f t="shared" si="7"/>
        <v>#DIV/0!</v>
      </c>
      <c r="Z39" s="11" t="e">
        <f t="shared" si="7"/>
        <v>#DIV/0!</v>
      </c>
    </row>
    <row r="40" spans="1:26" x14ac:dyDescent="0.3">
      <c r="A40" s="69" t="s">
        <v>543</v>
      </c>
      <c r="B40" s="11" t="s">
        <v>382</v>
      </c>
      <c r="C40" s="8"/>
      <c r="D40" s="23" t="s">
        <v>382</v>
      </c>
      <c r="E40" s="23" t="s">
        <v>120</v>
      </c>
      <c r="F40" s="8">
        <v>3</v>
      </c>
      <c r="G40" s="59" t="s">
        <v>581</v>
      </c>
      <c r="H40" s="36">
        <v>1.9024999812245369</v>
      </c>
      <c r="I40" s="10">
        <v>2.2287499625235796</v>
      </c>
      <c r="J40" s="37">
        <v>5.3149999119341373</v>
      </c>
      <c r="K40" s="36">
        <v>9.205000102519989</v>
      </c>
      <c r="L40" s="10">
        <v>9.3587499111890793</v>
      </c>
      <c r="M40" s="37">
        <v>9.9387500435113907</v>
      </c>
      <c r="N40" s="23" t="s">
        <v>32</v>
      </c>
      <c r="O40" s="8" t="s">
        <v>32</v>
      </c>
      <c r="P40" s="11" t="s">
        <v>32</v>
      </c>
      <c r="Q40" s="49">
        <v>67.610808411074728</v>
      </c>
      <c r="R40" s="10">
        <v>44.332569286314261</v>
      </c>
      <c r="S40" s="42">
        <v>66.935073815523481</v>
      </c>
      <c r="T40" s="69">
        <f t="shared" si="0"/>
        <v>48</v>
      </c>
      <c r="U40" s="23">
        <f t="shared" si="1"/>
        <v>0.3060420408204983</v>
      </c>
      <c r="V40" s="8">
        <f t="shared" si="2"/>
        <v>0.19737576112823654</v>
      </c>
      <c r="W40" s="11">
        <f t="shared" si="3"/>
        <v>0.28061490597612376</v>
      </c>
      <c r="X40" s="23" t="e">
        <f t="shared" si="7"/>
        <v>#DIV/0!</v>
      </c>
      <c r="Y40" s="8" t="e">
        <f t="shared" si="7"/>
        <v>#DIV/0!</v>
      </c>
      <c r="Z40" s="11" t="e">
        <f t="shared" si="7"/>
        <v>#DIV/0!</v>
      </c>
    </row>
    <row r="41" spans="1:26" x14ac:dyDescent="0.3">
      <c r="A41" s="69" t="s">
        <v>543</v>
      </c>
      <c r="B41" s="11" t="s">
        <v>384</v>
      </c>
      <c r="C41" s="8"/>
      <c r="D41" s="23" t="s">
        <v>385</v>
      </c>
      <c r="E41" s="23" t="s">
        <v>120</v>
      </c>
      <c r="F41" s="8">
        <v>3</v>
      </c>
      <c r="G41" s="59" t="s">
        <v>582</v>
      </c>
      <c r="H41" s="36">
        <v>6.6787499003112316</v>
      </c>
      <c r="I41" s="10">
        <v>6.2149999663233757</v>
      </c>
      <c r="J41" s="37">
        <v>5.9612500946968794</v>
      </c>
      <c r="K41" s="36">
        <v>10.782499983906746</v>
      </c>
      <c r="L41" s="10">
        <v>9.6612501889467239</v>
      </c>
      <c r="M41" s="37">
        <v>11.160000041127205</v>
      </c>
      <c r="N41" s="23" t="s">
        <v>32</v>
      </c>
      <c r="O41" s="8" t="s">
        <v>32</v>
      </c>
      <c r="P41" s="11" t="s">
        <v>32</v>
      </c>
      <c r="Q41" s="49">
        <v>111.83790009822762</v>
      </c>
      <c r="R41" s="10">
        <v>119.22079981237988</v>
      </c>
      <c r="S41" s="42">
        <v>81.793524266350957</v>
      </c>
      <c r="T41" s="69">
        <f t="shared" si="0"/>
        <v>48</v>
      </c>
      <c r="U41" s="23">
        <f t="shared" si="1"/>
        <v>0.43217366204942254</v>
      </c>
      <c r="V41" s="8">
        <f t="shared" si="2"/>
        <v>0.51417086074420271</v>
      </c>
      <c r="W41" s="11">
        <f t="shared" si="3"/>
        <v>0.3053820339192157</v>
      </c>
      <c r="X41" s="23" t="e">
        <f t="shared" si="7"/>
        <v>#DIV/0!</v>
      </c>
      <c r="Y41" s="8" t="e">
        <f t="shared" si="7"/>
        <v>#DIV/0!</v>
      </c>
      <c r="Z41" s="11" t="e">
        <f t="shared" si="7"/>
        <v>#DIV/0!</v>
      </c>
    </row>
    <row r="42" spans="1:26" x14ac:dyDescent="0.3">
      <c r="A42" s="69" t="s">
        <v>543</v>
      </c>
      <c r="B42" s="11" t="s">
        <v>387</v>
      </c>
      <c r="C42" s="8"/>
      <c r="D42" s="23" t="s">
        <v>387</v>
      </c>
      <c r="E42" s="23" t="s">
        <v>120</v>
      </c>
      <c r="F42" s="8">
        <v>3</v>
      </c>
      <c r="G42" s="11" t="s">
        <v>583</v>
      </c>
      <c r="H42" s="36">
        <v>5.3900000639259815</v>
      </c>
      <c r="I42" s="10">
        <v>5.1012499257922173</v>
      </c>
      <c r="J42" s="37">
        <v>5.6337500922381878</v>
      </c>
      <c r="K42" s="36">
        <v>9.5499999821186066</v>
      </c>
      <c r="L42" s="10">
        <v>9.140000119805336</v>
      </c>
      <c r="M42" s="37">
        <v>10.476249828934669</v>
      </c>
      <c r="N42" s="23" t="s">
        <v>32</v>
      </c>
      <c r="O42" s="8" t="s">
        <v>32</v>
      </c>
      <c r="P42" s="11" t="s">
        <v>32</v>
      </c>
      <c r="Q42" s="49">
        <v>28.444599769286302</v>
      </c>
      <c r="R42" s="10">
        <v>27.412689368792137</v>
      </c>
      <c r="S42" s="42">
        <v>40.62232846540256</v>
      </c>
      <c r="T42" s="69">
        <f t="shared" si="0"/>
        <v>48</v>
      </c>
      <c r="U42" s="23">
        <f t="shared" si="1"/>
        <v>0.12410383866730319</v>
      </c>
      <c r="V42" s="8">
        <f t="shared" si="2"/>
        <v>0.12496667126856291</v>
      </c>
      <c r="W42" s="11">
        <f t="shared" si="3"/>
        <v>0.16156516377806671</v>
      </c>
      <c r="X42" s="23" t="e">
        <f t="shared" si="7"/>
        <v>#DIV/0!</v>
      </c>
      <c r="Y42" s="8" t="e">
        <f t="shared" si="7"/>
        <v>#DIV/0!</v>
      </c>
      <c r="Z42" s="11" t="e">
        <f t="shared" si="7"/>
        <v>#DIV/0!</v>
      </c>
    </row>
    <row r="43" spans="1:26" x14ac:dyDescent="0.3">
      <c r="A43" s="69" t="s">
        <v>543</v>
      </c>
      <c r="B43" s="11" t="s">
        <v>389</v>
      </c>
      <c r="C43" s="8"/>
      <c r="D43" s="23" t="s">
        <v>390</v>
      </c>
      <c r="E43" s="23" t="s">
        <v>120</v>
      </c>
      <c r="F43" s="8">
        <v>3</v>
      </c>
      <c r="G43" s="11" t="s">
        <v>584</v>
      </c>
      <c r="H43" s="36">
        <v>5.4112499579787254</v>
      </c>
      <c r="I43" s="10">
        <v>5.3587500937283039</v>
      </c>
      <c r="J43" s="37">
        <v>7.2937498800456524</v>
      </c>
      <c r="K43" s="36">
        <v>10.059999860823154</v>
      </c>
      <c r="L43" s="10">
        <v>8.7812500074505806</v>
      </c>
      <c r="M43" s="37">
        <v>10.796250030398369</v>
      </c>
      <c r="N43" s="23" t="s">
        <v>32</v>
      </c>
      <c r="O43" s="8" t="s">
        <v>32</v>
      </c>
      <c r="P43" s="11" t="s">
        <v>32</v>
      </c>
      <c r="Q43" s="49">
        <v>46.892433030404099</v>
      </c>
      <c r="R43" s="10">
        <v>37.958141725717461</v>
      </c>
      <c r="S43" s="42">
        <v>54.650066073559962</v>
      </c>
      <c r="T43" s="69">
        <f t="shared" si="0"/>
        <v>48</v>
      </c>
      <c r="U43" s="23">
        <f t="shared" si="1"/>
        <v>0.19421982140136576</v>
      </c>
      <c r="V43" s="8">
        <f t="shared" si="2"/>
        <v>0.1801098063749054</v>
      </c>
      <c r="W43" s="11">
        <f t="shared" si="3"/>
        <v>0.21091453791704284</v>
      </c>
      <c r="X43" s="23" t="e">
        <f t="shared" si="7"/>
        <v>#DIV/0!</v>
      </c>
      <c r="Y43" s="8" t="e">
        <f t="shared" si="7"/>
        <v>#DIV/0!</v>
      </c>
      <c r="Z43" s="11" t="e">
        <f t="shared" si="7"/>
        <v>#DIV/0!</v>
      </c>
    </row>
    <row r="44" spans="1:26" x14ac:dyDescent="0.3">
      <c r="A44" s="69" t="s">
        <v>543</v>
      </c>
      <c r="B44" s="11" t="s">
        <v>392</v>
      </c>
      <c r="C44" s="8"/>
      <c r="D44" s="23" t="s">
        <v>392</v>
      </c>
      <c r="E44" s="23" t="s">
        <v>120</v>
      </c>
      <c r="F44" s="8">
        <v>3</v>
      </c>
      <c r="G44" s="59" t="s">
        <v>585</v>
      </c>
      <c r="H44" s="36">
        <v>4.8925000242888927</v>
      </c>
      <c r="I44" s="10">
        <v>5.612500011920929</v>
      </c>
      <c r="J44" s="37">
        <v>6.615000031888485</v>
      </c>
      <c r="K44" s="36">
        <v>8.4787499159574509</v>
      </c>
      <c r="L44" s="10">
        <v>10.526249930262566</v>
      </c>
      <c r="M44" s="37">
        <v>10.542499832808971</v>
      </c>
      <c r="N44" s="23" t="s">
        <v>32</v>
      </c>
      <c r="O44" s="8" t="s">
        <v>32</v>
      </c>
      <c r="P44" s="11" t="s">
        <v>32</v>
      </c>
      <c r="Q44" s="49">
        <v>35.928645318167909</v>
      </c>
      <c r="R44" s="10">
        <v>56.08434907076191</v>
      </c>
      <c r="S44" s="42">
        <v>29.837336461884991</v>
      </c>
      <c r="T44" s="69">
        <f t="shared" si="0"/>
        <v>48</v>
      </c>
      <c r="U44" s="23">
        <f t="shared" si="1"/>
        <v>0.17656221767309274</v>
      </c>
      <c r="V44" s="8">
        <f t="shared" si="2"/>
        <v>0.22200193738798324</v>
      </c>
      <c r="W44" s="11">
        <f t="shared" si="3"/>
        <v>0.11792481596343492</v>
      </c>
      <c r="X44" s="23" t="e">
        <f t="shared" si="7"/>
        <v>#DIV/0!</v>
      </c>
      <c r="Y44" s="8" t="e">
        <f t="shared" si="7"/>
        <v>#DIV/0!</v>
      </c>
      <c r="Z44" s="11" t="e">
        <f t="shared" si="7"/>
        <v>#DIV/0!</v>
      </c>
    </row>
    <row r="45" spans="1:26" x14ac:dyDescent="0.3">
      <c r="A45" s="69" t="s">
        <v>543</v>
      </c>
      <c r="B45" s="11" t="s">
        <v>394</v>
      </c>
      <c r="C45" s="8"/>
      <c r="D45" s="23" t="s">
        <v>395</v>
      </c>
      <c r="E45" s="23" t="s">
        <v>120</v>
      </c>
      <c r="F45" s="8">
        <v>3</v>
      </c>
      <c r="G45" s="11" t="s">
        <v>586</v>
      </c>
      <c r="H45" s="36">
        <v>4.0837501175701618</v>
      </c>
      <c r="I45" s="10">
        <v>6.5787498839199543</v>
      </c>
      <c r="J45" s="37">
        <v>8.9249998331069946</v>
      </c>
      <c r="K45" s="36">
        <v>7.8212501481175423</v>
      </c>
      <c r="L45" s="10">
        <v>7.9887501224874997</v>
      </c>
      <c r="M45" s="37">
        <v>8.2712500393389998</v>
      </c>
      <c r="N45" s="23" t="s">
        <v>32</v>
      </c>
      <c r="O45" s="8" t="s">
        <v>32</v>
      </c>
      <c r="P45" s="11" t="s">
        <v>32</v>
      </c>
      <c r="Q45" s="49">
        <v>17.497294263072298</v>
      </c>
      <c r="R45" s="10">
        <v>16.602033942165299</v>
      </c>
      <c r="S45" s="42">
        <v>19.181226461480499</v>
      </c>
      <c r="T45" s="69">
        <f t="shared" si="0"/>
        <v>48</v>
      </c>
      <c r="U45" s="23">
        <f t="shared" si="1"/>
        <v>9.321450072831193E-2</v>
      </c>
      <c r="V45" s="8">
        <f t="shared" si="2"/>
        <v>8.6590693619228276E-2</v>
      </c>
      <c r="W45" s="11">
        <f t="shared" si="3"/>
        <v>9.6625995517870225E-2</v>
      </c>
      <c r="X45" s="23" t="e">
        <f t="shared" si="7"/>
        <v>#DIV/0!</v>
      </c>
      <c r="Y45" s="8" t="e">
        <f t="shared" si="7"/>
        <v>#DIV/0!</v>
      </c>
      <c r="Z45" s="11" t="e">
        <f t="shared" si="7"/>
        <v>#DIV/0!</v>
      </c>
    </row>
    <row r="46" spans="1:26" x14ac:dyDescent="0.3">
      <c r="A46" s="69" t="s">
        <v>543</v>
      </c>
      <c r="B46" s="11" t="s">
        <v>397</v>
      </c>
      <c r="C46" s="8"/>
      <c r="D46" s="23" t="s">
        <v>397</v>
      </c>
      <c r="E46" s="23" t="s">
        <v>120</v>
      </c>
      <c r="F46" s="8">
        <v>3</v>
      </c>
      <c r="G46" s="11" t="s">
        <v>587</v>
      </c>
      <c r="H46" s="36">
        <v>3.724999912083149</v>
      </c>
      <c r="I46" s="10">
        <v>4.6524998731911182</v>
      </c>
      <c r="J46" s="37">
        <v>8.4062500856816769</v>
      </c>
      <c r="K46" s="36">
        <v>7.6400000602006912</v>
      </c>
      <c r="L46" s="10">
        <v>8.6749998852610588</v>
      </c>
      <c r="M46" s="37">
        <v>9.9737498909235001</v>
      </c>
      <c r="N46" s="23" t="s">
        <v>32</v>
      </c>
      <c r="O46" s="8" t="s">
        <v>32</v>
      </c>
      <c r="P46" s="11" t="s">
        <v>32</v>
      </c>
      <c r="Q46" s="49">
        <v>27.094296396898901</v>
      </c>
      <c r="R46" s="10">
        <v>34.038193772722281</v>
      </c>
      <c r="S46" s="42">
        <v>35.260556728147549</v>
      </c>
      <c r="T46" s="69">
        <f t="shared" si="0"/>
        <v>48</v>
      </c>
      <c r="U46" s="23">
        <f t="shared" si="1"/>
        <v>0.14776557691647438</v>
      </c>
      <c r="V46" s="8">
        <f t="shared" si="2"/>
        <v>0.16348796456736189</v>
      </c>
      <c r="W46" s="11">
        <f t="shared" si="3"/>
        <v>0.14730566534557221</v>
      </c>
      <c r="X46" s="23" t="e">
        <f t="shared" si="7"/>
        <v>#DIV/0!</v>
      </c>
      <c r="Y46" s="8" t="e">
        <f t="shared" si="7"/>
        <v>#DIV/0!</v>
      </c>
      <c r="Z46" s="11" t="e">
        <f t="shared" si="7"/>
        <v>#DIV/0!</v>
      </c>
    </row>
    <row r="47" spans="1:26" x14ac:dyDescent="0.3">
      <c r="A47" s="69" t="s">
        <v>543</v>
      </c>
      <c r="B47" s="11" t="s">
        <v>399</v>
      </c>
      <c r="C47" s="8"/>
      <c r="D47" s="23" t="s">
        <v>399</v>
      </c>
      <c r="E47" s="23" t="s">
        <v>120</v>
      </c>
      <c r="F47" s="8">
        <v>3</v>
      </c>
      <c r="G47" s="11" t="s">
        <v>588</v>
      </c>
      <c r="H47" s="36">
        <v>5.5649999529123306</v>
      </c>
      <c r="I47" s="10">
        <v>5.8725000359117985</v>
      </c>
      <c r="J47" s="37">
        <v>5.8487500064074993</v>
      </c>
      <c r="K47" s="36">
        <v>9.8862500861287117</v>
      </c>
      <c r="L47" s="10">
        <v>9.7925001755356789</v>
      </c>
      <c r="M47" s="37">
        <v>8.9187499135732651</v>
      </c>
      <c r="N47" s="23" t="s">
        <v>32</v>
      </c>
      <c r="O47" s="8" t="s">
        <v>32</v>
      </c>
      <c r="P47" s="11" t="s">
        <v>32</v>
      </c>
      <c r="Q47" s="49">
        <v>38.726120911254696</v>
      </c>
      <c r="R47" s="10">
        <v>36.750820538647069</v>
      </c>
      <c r="S47" s="42">
        <v>38.998062041858503</v>
      </c>
      <c r="T47" s="69">
        <f t="shared" si="0"/>
        <v>48</v>
      </c>
      <c r="U47" s="23">
        <f t="shared" si="1"/>
        <v>0.16321541102488263</v>
      </c>
      <c r="V47" s="8">
        <f t="shared" si="2"/>
        <v>0.15637315921993628</v>
      </c>
      <c r="W47" s="11">
        <f t="shared" si="3"/>
        <v>0.18219136846422532</v>
      </c>
      <c r="X47" s="23" t="e">
        <f t="shared" si="7"/>
        <v>#DIV/0!</v>
      </c>
      <c r="Y47" s="8" t="e">
        <f t="shared" si="7"/>
        <v>#DIV/0!</v>
      </c>
      <c r="Z47" s="11" t="e">
        <f t="shared" si="7"/>
        <v>#DIV/0!</v>
      </c>
    </row>
    <row r="48" spans="1:26" x14ac:dyDescent="0.3">
      <c r="A48" s="69" t="s">
        <v>543</v>
      </c>
      <c r="B48" s="11" t="s">
        <v>401</v>
      </c>
      <c r="C48" s="8"/>
      <c r="D48" s="23" t="s">
        <v>401</v>
      </c>
      <c r="E48" s="23" t="s">
        <v>120</v>
      </c>
      <c r="F48" s="8">
        <v>3</v>
      </c>
      <c r="G48" s="11" t="s">
        <v>589</v>
      </c>
      <c r="H48" s="36">
        <v>5.1937500014901161</v>
      </c>
      <c r="I48" s="10">
        <v>2.9825000558048487</v>
      </c>
      <c r="J48" s="37">
        <v>6.8712498992681503</v>
      </c>
      <c r="K48" s="36">
        <v>7.5612498000264097</v>
      </c>
      <c r="L48" s="10">
        <v>8.1087499409913999</v>
      </c>
      <c r="M48" s="37">
        <v>6.82249993830919</v>
      </c>
      <c r="N48" s="23" t="s">
        <v>32</v>
      </c>
      <c r="O48" s="8" t="s">
        <v>32</v>
      </c>
      <c r="P48" s="11" t="s">
        <v>32</v>
      </c>
      <c r="Q48" s="49">
        <v>15.9820227933476</v>
      </c>
      <c r="R48" s="10">
        <v>14.067132932369899</v>
      </c>
      <c r="S48" s="42">
        <v>15.3773888705829</v>
      </c>
      <c r="T48" s="69">
        <f t="shared" si="0"/>
        <v>48</v>
      </c>
      <c r="U48" s="23">
        <f t="shared" si="1"/>
        <v>8.8069781319373611E-2</v>
      </c>
      <c r="V48" s="8">
        <f t="shared" si="2"/>
        <v>7.2283711190270564E-2</v>
      </c>
      <c r="W48" s="11">
        <f t="shared" si="3"/>
        <v>9.3913454315556547E-2</v>
      </c>
      <c r="X48" s="23" t="e">
        <f t="shared" si="7"/>
        <v>#DIV/0!</v>
      </c>
      <c r="Y48" s="8" t="e">
        <f t="shared" si="7"/>
        <v>#DIV/0!</v>
      </c>
      <c r="Z48" s="11" t="e">
        <f t="shared" si="7"/>
        <v>#DIV/0!</v>
      </c>
    </row>
    <row r="49" spans="1:26" x14ac:dyDescent="0.3">
      <c r="A49" s="69" t="s">
        <v>543</v>
      </c>
      <c r="B49" s="11" t="s">
        <v>403</v>
      </c>
      <c r="C49" s="8"/>
      <c r="D49" s="23" t="s">
        <v>403</v>
      </c>
      <c r="E49" s="23" t="s">
        <v>120</v>
      </c>
      <c r="F49" s="8">
        <v>3</v>
      </c>
      <c r="G49" s="59" t="s">
        <v>590</v>
      </c>
      <c r="H49" s="36">
        <v>4.8399999737739563</v>
      </c>
      <c r="I49" s="10">
        <v>6.3087498769164085</v>
      </c>
      <c r="J49" s="37">
        <v>7.0399999618530273</v>
      </c>
      <c r="K49" s="36">
        <v>9.373750165104866</v>
      </c>
      <c r="L49" s="10">
        <v>9.4100002199411392</v>
      </c>
      <c r="M49" s="37">
        <v>8.4462499246001244</v>
      </c>
      <c r="N49" s="23" t="s">
        <v>32</v>
      </c>
      <c r="O49" s="8" t="s">
        <v>32</v>
      </c>
      <c r="P49" s="11" t="s">
        <v>32</v>
      </c>
      <c r="Q49" s="49">
        <v>63.377048777576398</v>
      </c>
      <c r="R49" s="10">
        <v>63.197090999574911</v>
      </c>
      <c r="S49" s="42">
        <v>55.870306696085798</v>
      </c>
      <c r="T49" s="69">
        <f t="shared" si="0"/>
        <v>48</v>
      </c>
      <c r="U49" s="23">
        <f t="shared" si="1"/>
        <v>0.28171332916069963</v>
      </c>
      <c r="V49" s="8">
        <f t="shared" si="2"/>
        <v>0.27983125009945631</v>
      </c>
      <c r="W49" s="11">
        <f t="shared" si="3"/>
        <v>0.27561692661852583</v>
      </c>
      <c r="X49" s="23" t="e">
        <f t="shared" si="7"/>
        <v>#DIV/0!</v>
      </c>
      <c r="Y49" s="8" t="e">
        <f t="shared" si="7"/>
        <v>#DIV/0!</v>
      </c>
      <c r="Z49" s="11" t="e">
        <f t="shared" si="7"/>
        <v>#DIV/0!</v>
      </c>
    </row>
    <row r="50" spans="1:26" x14ac:dyDescent="0.3">
      <c r="A50" s="69" t="s">
        <v>543</v>
      </c>
      <c r="B50" s="11" t="s">
        <v>405</v>
      </c>
      <c r="C50" s="8"/>
      <c r="D50" s="23" t="s">
        <v>405</v>
      </c>
      <c r="E50" s="23" t="s">
        <v>120</v>
      </c>
      <c r="F50" s="8">
        <v>3</v>
      </c>
      <c r="G50" s="59" t="s">
        <v>591</v>
      </c>
      <c r="H50" s="36">
        <v>5.4562500678002834</v>
      </c>
      <c r="I50" s="10">
        <v>5.3187498822808266</v>
      </c>
      <c r="J50" s="37">
        <v>4.348750039935112</v>
      </c>
      <c r="K50" s="36">
        <v>9.7850002348423004</v>
      </c>
      <c r="L50" s="10">
        <v>9.4599999487400055</v>
      </c>
      <c r="M50" s="37">
        <v>8.1662498414516449</v>
      </c>
      <c r="N50" s="23" t="s">
        <v>32</v>
      </c>
      <c r="O50" s="8" t="s">
        <v>32</v>
      </c>
      <c r="P50" s="11" t="s">
        <v>32</v>
      </c>
      <c r="Q50" s="49">
        <v>103.60273724719954</v>
      </c>
      <c r="R50" s="10">
        <v>98.115147543960305</v>
      </c>
      <c r="S50" s="42">
        <v>79.536192671196403</v>
      </c>
      <c r="T50" s="69">
        <f t="shared" si="0"/>
        <v>48</v>
      </c>
      <c r="U50" s="23">
        <f t="shared" si="1"/>
        <v>0.44116306745320027</v>
      </c>
      <c r="V50" s="8">
        <f t="shared" si="2"/>
        <v>0.4321491722850927</v>
      </c>
      <c r="W50" s="11">
        <f t="shared" si="3"/>
        <v>0.40581761424255097</v>
      </c>
      <c r="X50" s="23" t="e">
        <f t="shared" si="7"/>
        <v>#DIV/0!</v>
      </c>
      <c r="Y50" s="8" t="e">
        <f t="shared" si="7"/>
        <v>#DIV/0!</v>
      </c>
      <c r="Z50" s="11" t="e">
        <f t="shared" si="7"/>
        <v>#DIV/0!</v>
      </c>
    </row>
    <row r="51" spans="1:26" x14ac:dyDescent="0.3">
      <c r="A51" s="69" t="s">
        <v>543</v>
      </c>
      <c r="B51" s="11" t="s">
        <v>407</v>
      </c>
      <c r="C51" s="8"/>
      <c r="D51" s="23" t="s">
        <v>408</v>
      </c>
      <c r="E51" s="23" t="s">
        <v>120</v>
      </c>
      <c r="F51" s="8">
        <v>3</v>
      </c>
      <c r="G51" s="11" t="s">
        <v>592</v>
      </c>
      <c r="H51" s="36">
        <v>6.4749998040497303</v>
      </c>
      <c r="I51" s="10">
        <v>6.158750131726265</v>
      </c>
      <c r="J51" s="37">
        <v>5.0575000233948231</v>
      </c>
      <c r="K51" s="36">
        <v>10.084999911487103</v>
      </c>
      <c r="L51" s="10">
        <v>11.198749952018261</v>
      </c>
      <c r="M51" s="37">
        <v>9.9812502041459084</v>
      </c>
      <c r="N51" s="23" t="s">
        <v>32</v>
      </c>
      <c r="O51" s="8" t="s">
        <v>32</v>
      </c>
      <c r="P51" s="11" t="s">
        <v>32</v>
      </c>
      <c r="Q51" s="49">
        <v>25.113047395266605</v>
      </c>
      <c r="R51" s="10">
        <v>29.6416691316048</v>
      </c>
      <c r="S51" s="42">
        <v>24.8790436272748</v>
      </c>
      <c r="T51" s="69">
        <f t="shared" si="0"/>
        <v>48</v>
      </c>
      <c r="U51" s="23">
        <f t="shared" si="1"/>
        <v>0.10375577431695582</v>
      </c>
      <c r="V51" s="8">
        <f t="shared" si="2"/>
        <v>0.11028637592962894</v>
      </c>
      <c r="W51" s="11">
        <f t="shared" si="3"/>
        <v>0.10385741230818292</v>
      </c>
      <c r="X51" s="23" t="e">
        <f t="shared" si="7"/>
        <v>#DIV/0!</v>
      </c>
      <c r="Y51" s="8" t="e">
        <f t="shared" si="7"/>
        <v>#DIV/0!</v>
      </c>
      <c r="Z51" s="11" t="e">
        <f t="shared" si="7"/>
        <v>#DIV/0!</v>
      </c>
    </row>
    <row r="52" spans="1:26" x14ac:dyDescent="0.3">
      <c r="A52" s="69" t="s">
        <v>543</v>
      </c>
      <c r="B52" s="11" t="s">
        <v>410</v>
      </c>
      <c r="C52" s="8"/>
      <c r="D52" s="23" t="s">
        <v>411</v>
      </c>
      <c r="E52" s="23" t="s">
        <v>120</v>
      </c>
      <c r="F52" s="8">
        <v>3</v>
      </c>
      <c r="G52" s="59" t="s">
        <v>593</v>
      </c>
      <c r="H52" s="36">
        <v>7.0387501269578934</v>
      </c>
      <c r="I52" s="10">
        <v>5.7749999687075615</v>
      </c>
      <c r="J52" s="37">
        <v>5.6887499056756496</v>
      </c>
      <c r="K52" s="36">
        <v>7.3225001171231003</v>
      </c>
      <c r="L52" s="10">
        <v>7.9775001406669599</v>
      </c>
      <c r="M52" s="37">
        <v>8.5037501081824001</v>
      </c>
      <c r="N52" s="23" t="s">
        <v>32</v>
      </c>
      <c r="O52" s="8" t="s">
        <v>32</v>
      </c>
      <c r="P52" s="11" t="s">
        <v>32</v>
      </c>
      <c r="Q52" s="49">
        <v>13.303106377811501</v>
      </c>
      <c r="R52" s="10">
        <v>13.4026495037148</v>
      </c>
      <c r="S52" s="42">
        <v>13.2210520648075</v>
      </c>
      <c r="T52" s="69">
        <f t="shared" si="0"/>
        <v>48</v>
      </c>
      <c r="U52" s="23">
        <f t="shared" si="1"/>
        <v>7.5697656566682828E-2</v>
      </c>
      <c r="V52" s="8">
        <f t="shared" si="2"/>
        <v>7.0002346533930768E-2</v>
      </c>
      <c r="W52" s="11">
        <f t="shared" si="3"/>
        <v>6.4780498292973027E-2</v>
      </c>
      <c r="X52" s="23" t="e">
        <f t="shared" si="7"/>
        <v>#DIV/0!</v>
      </c>
      <c r="Y52" s="8" t="e">
        <f t="shared" si="7"/>
        <v>#DIV/0!</v>
      </c>
      <c r="Z52" s="11" t="e">
        <f t="shared" si="7"/>
        <v>#DIV/0!</v>
      </c>
    </row>
    <row r="53" spans="1:26" x14ac:dyDescent="0.3">
      <c r="A53" s="69" t="s">
        <v>543</v>
      </c>
      <c r="B53" s="11" t="s">
        <v>413</v>
      </c>
      <c r="C53" s="8"/>
      <c r="D53" s="23" t="s">
        <v>414</v>
      </c>
      <c r="E53" s="23" t="s">
        <v>120</v>
      </c>
      <c r="F53" s="8">
        <v>3</v>
      </c>
      <c r="G53" s="59" t="s">
        <v>594</v>
      </c>
      <c r="H53" s="36">
        <v>5.8087500743567944</v>
      </c>
      <c r="I53" s="10">
        <v>5.3362500853836536</v>
      </c>
      <c r="J53" s="37">
        <v>4.9762499518692493</v>
      </c>
      <c r="K53" s="36">
        <v>9.8224999383091927</v>
      </c>
      <c r="L53" s="10">
        <v>9.4975000247359276</v>
      </c>
      <c r="M53" s="37">
        <v>9.1737499460577965</v>
      </c>
      <c r="N53" s="23" t="s">
        <v>32</v>
      </c>
      <c r="O53" s="8" t="s">
        <v>32</v>
      </c>
      <c r="P53" s="11" t="s">
        <v>32</v>
      </c>
      <c r="Q53" s="49">
        <v>25.392363029609299</v>
      </c>
      <c r="R53" s="10">
        <v>27.892268962404</v>
      </c>
      <c r="S53" s="42">
        <v>22.886421610424399</v>
      </c>
      <c r="T53" s="69">
        <f t="shared" si="0"/>
        <v>48</v>
      </c>
      <c r="U53" s="23">
        <f t="shared" si="1"/>
        <v>0.10771342661019588</v>
      </c>
      <c r="V53" s="8">
        <f t="shared" si="2"/>
        <v>0.12236671444134202</v>
      </c>
      <c r="W53" s="11">
        <f t="shared" si="3"/>
        <v>0.10394886562655194</v>
      </c>
      <c r="X53" s="23" t="e">
        <f t="shared" si="7"/>
        <v>#DIV/0!</v>
      </c>
      <c r="Y53" s="8" t="e">
        <f t="shared" si="7"/>
        <v>#DIV/0!</v>
      </c>
      <c r="Z53" s="11" t="e">
        <f t="shared" si="7"/>
        <v>#DIV/0!</v>
      </c>
    </row>
    <row r="54" spans="1:26" x14ac:dyDescent="0.3">
      <c r="A54" s="69" t="s">
        <v>543</v>
      </c>
      <c r="B54" s="11" t="s">
        <v>416</v>
      </c>
      <c r="C54" s="8"/>
      <c r="D54" s="23" t="s">
        <v>416</v>
      </c>
      <c r="E54" s="23" t="s">
        <v>120</v>
      </c>
      <c r="F54" s="8">
        <v>3</v>
      </c>
      <c r="G54" s="11" t="s">
        <v>595</v>
      </c>
      <c r="H54" s="36">
        <v>5.078749917447567</v>
      </c>
      <c r="I54" s="10">
        <v>4.8325000330805779</v>
      </c>
      <c r="J54" s="37">
        <v>4.9574999138712883</v>
      </c>
      <c r="K54" s="36">
        <v>9.5724998041987419</v>
      </c>
      <c r="L54" s="10">
        <v>9.4249999150633812</v>
      </c>
      <c r="M54" s="37">
        <v>8.5449998974800092</v>
      </c>
      <c r="N54" s="23" t="s">
        <v>32</v>
      </c>
      <c r="O54" s="8" t="s">
        <v>32</v>
      </c>
      <c r="P54" s="11" t="s">
        <v>32</v>
      </c>
      <c r="Q54" s="49">
        <v>28.2712194802269</v>
      </c>
      <c r="R54" s="10">
        <v>29.6169363962454</v>
      </c>
      <c r="S54" s="42">
        <v>24.422339086889146</v>
      </c>
      <c r="T54" s="69">
        <f t="shared" si="0"/>
        <v>48</v>
      </c>
      <c r="U54" s="23">
        <f t="shared" si="1"/>
        <v>0.12305745650954215</v>
      </c>
      <c r="V54" s="8">
        <f t="shared" si="2"/>
        <v>0.13093252282559054</v>
      </c>
      <c r="W54" s="11">
        <f t="shared" si="3"/>
        <v>0.11908688989613825</v>
      </c>
      <c r="X54" s="23" t="e">
        <f t="shared" si="7"/>
        <v>#DIV/0!</v>
      </c>
      <c r="Y54" s="8" t="e">
        <f t="shared" si="7"/>
        <v>#DIV/0!</v>
      </c>
      <c r="Z54" s="11" t="e">
        <f t="shared" si="7"/>
        <v>#DIV/0!</v>
      </c>
    </row>
    <row r="55" spans="1:26" x14ac:dyDescent="0.3">
      <c r="A55" s="69" t="s">
        <v>543</v>
      </c>
      <c r="B55" s="11" t="s">
        <v>418</v>
      </c>
      <c r="C55" s="8"/>
      <c r="D55" s="23" t="s">
        <v>418</v>
      </c>
      <c r="E55" s="23" t="s">
        <v>120</v>
      </c>
      <c r="F55" s="8">
        <v>3</v>
      </c>
      <c r="G55" s="11" t="s">
        <v>596</v>
      </c>
      <c r="H55" s="36">
        <v>5.5637500248849392</v>
      </c>
      <c r="I55" s="10">
        <v>4.3387499637901783</v>
      </c>
      <c r="J55" s="37">
        <v>5.9899999760091305</v>
      </c>
      <c r="K55" s="36">
        <v>6.6062501892447401</v>
      </c>
      <c r="L55" s="10">
        <v>6.1637499853968603</v>
      </c>
      <c r="M55" s="37">
        <v>6.8262499794362999</v>
      </c>
      <c r="N55" s="23" t="s">
        <v>32</v>
      </c>
      <c r="O55" s="8" t="s">
        <v>32</v>
      </c>
      <c r="P55" s="11" t="s">
        <v>32</v>
      </c>
      <c r="Q55" s="49">
        <v>17.956885850410799</v>
      </c>
      <c r="R55" s="10">
        <v>17.814860692148901</v>
      </c>
      <c r="S55" s="42">
        <v>15.3346778815121</v>
      </c>
      <c r="T55" s="69">
        <f t="shared" si="0"/>
        <v>48</v>
      </c>
      <c r="U55" s="23">
        <f t="shared" si="1"/>
        <v>0.1132569242258729</v>
      </c>
      <c r="V55" s="8">
        <f t="shared" si="2"/>
        <v>0.12042763965629567</v>
      </c>
      <c r="W55" s="11">
        <f t="shared" si="3"/>
        <v>9.3601159297485012E-2</v>
      </c>
      <c r="X55" s="23" t="e">
        <f t="shared" si="7"/>
        <v>#DIV/0!</v>
      </c>
      <c r="Y55" s="8" t="e">
        <f t="shared" si="7"/>
        <v>#DIV/0!</v>
      </c>
      <c r="Z55" s="11" t="e">
        <f t="shared" si="7"/>
        <v>#DIV/0!</v>
      </c>
    </row>
    <row r="56" spans="1:26" x14ac:dyDescent="0.3">
      <c r="A56" s="69" t="s">
        <v>543</v>
      </c>
      <c r="B56" s="11" t="s">
        <v>420</v>
      </c>
      <c r="C56" s="8"/>
      <c r="D56" s="23" t="s">
        <v>421</v>
      </c>
      <c r="E56" s="23" t="s">
        <v>120</v>
      </c>
      <c r="F56" s="8">
        <v>3</v>
      </c>
      <c r="G56" s="11" t="s">
        <v>597</v>
      </c>
      <c r="H56" s="36">
        <v>6.3462500460445881</v>
      </c>
      <c r="I56" s="10">
        <v>6.0950000770390034</v>
      </c>
      <c r="J56" s="37">
        <v>5.2787499502301216</v>
      </c>
      <c r="K56" s="36">
        <v>10.851250030100346</v>
      </c>
      <c r="L56" s="10">
        <v>10.29874999076128</v>
      </c>
      <c r="M56" s="37">
        <v>9.9750000983476639</v>
      </c>
      <c r="N56" s="23" t="s">
        <v>32</v>
      </c>
      <c r="O56" s="8" t="s">
        <v>32</v>
      </c>
      <c r="P56" s="11" t="s">
        <v>32</v>
      </c>
      <c r="Q56" s="49">
        <v>1.9111487414695001</v>
      </c>
      <c r="R56" s="10">
        <v>1.6130090718687</v>
      </c>
      <c r="S56" s="42">
        <v>2.27809748073375</v>
      </c>
      <c r="T56" s="69">
        <f t="shared" si="0"/>
        <v>48</v>
      </c>
      <c r="U56" s="23">
        <f t="shared" si="1"/>
        <v>7.3384354189922575E-3</v>
      </c>
      <c r="V56" s="8">
        <f t="shared" si="2"/>
        <v>6.5259095898194978E-3</v>
      </c>
      <c r="W56" s="11">
        <f t="shared" si="3"/>
        <v>9.5158623988013443E-3</v>
      </c>
      <c r="X56" s="23" t="e">
        <f t="shared" si="7"/>
        <v>#DIV/0!</v>
      </c>
      <c r="Y56" s="8" t="e">
        <f t="shared" si="7"/>
        <v>#DIV/0!</v>
      </c>
      <c r="Z56" s="11" t="e">
        <f t="shared" si="7"/>
        <v>#DIV/0!</v>
      </c>
    </row>
    <row r="57" spans="1:26" x14ac:dyDescent="0.3">
      <c r="A57" s="69" t="s">
        <v>543</v>
      </c>
      <c r="B57" s="11" t="s">
        <v>423</v>
      </c>
      <c r="C57" s="8"/>
      <c r="D57" s="23" t="s">
        <v>423</v>
      </c>
      <c r="E57" s="23" t="s">
        <v>120</v>
      </c>
      <c r="F57" s="8">
        <v>3</v>
      </c>
      <c r="G57" s="11" t="s">
        <v>598</v>
      </c>
      <c r="H57" s="36">
        <v>6.4574998803436756</v>
      </c>
      <c r="I57" s="10">
        <v>5.8750000782310963</v>
      </c>
      <c r="J57" s="37">
        <v>4.0900000371038914</v>
      </c>
      <c r="K57" s="36">
        <v>8.7874997183680499</v>
      </c>
      <c r="L57" s="10">
        <v>8.6050001457332996</v>
      </c>
      <c r="M57" s="37">
        <v>7.8962499275803504</v>
      </c>
      <c r="N57" s="23" t="s">
        <v>32</v>
      </c>
      <c r="O57" s="8" t="s">
        <v>32</v>
      </c>
      <c r="P57" s="11" t="s">
        <v>32</v>
      </c>
      <c r="Q57" s="49">
        <v>30.685048247401401</v>
      </c>
      <c r="R57" s="10">
        <v>29.246233411512598</v>
      </c>
      <c r="S57" s="42">
        <v>30.5087673669439</v>
      </c>
      <c r="T57" s="69">
        <f t="shared" si="0"/>
        <v>48</v>
      </c>
      <c r="U57" s="23">
        <f t="shared" si="1"/>
        <v>0.14549572892760218</v>
      </c>
      <c r="V57" s="8">
        <f t="shared" si="2"/>
        <v>0.14161453087449996</v>
      </c>
      <c r="W57" s="11">
        <f t="shared" si="3"/>
        <v>0.16098763994908946</v>
      </c>
      <c r="X57" s="23" t="e">
        <f t="shared" si="7"/>
        <v>#DIV/0!</v>
      </c>
      <c r="Y57" s="8" t="e">
        <f t="shared" si="7"/>
        <v>#DIV/0!</v>
      </c>
      <c r="Z57" s="11" t="e">
        <f t="shared" si="7"/>
        <v>#DIV/0!</v>
      </c>
    </row>
    <row r="58" spans="1:26" ht="15.6" x14ac:dyDescent="0.3">
      <c r="A58" s="69" t="s">
        <v>543</v>
      </c>
      <c r="B58" s="11" t="s">
        <v>425</v>
      </c>
      <c r="C58" s="8"/>
      <c r="D58" s="23" t="s">
        <v>426</v>
      </c>
      <c r="E58" s="23" t="s">
        <v>120</v>
      </c>
      <c r="F58" s="8">
        <v>3</v>
      </c>
      <c r="G58" s="60" t="s">
        <v>599</v>
      </c>
      <c r="H58" s="36">
        <v>5.963749997317791</v>
      </c>
      <c r="I58" s="10">
        <v>4.5525000430643559</v>
      </c>
      <c r="J58" s="37">
        <v>5.2762500941753387</v>
      </c>
      <c r="K58" s="36">
        <v>6.6200000494718498</v>
      </c>
      <c r="L58" s="10">
        <v>7.5350001230835897</v>
      </c>
      <c r="M58" s="37">
        <v>7.61000006645917</v>
      </c>
      <c r="N58" s="23" t="s">
        <v>32</v>
      </c>
      <c r="O58" s="8" t="s">
        <v>32</v>
      </c>
      <c r="P58" s="11" t="s">
        <v>32</v>
      </c>
      <c r="Q58" s="49">
        <v>24.520091893180801</v>
      </c>
      <c r="R58" s="10">
        <v>28.1474837303128</v>
      </c>
      <c r="S58" s="42">
        <v>25.7165737560242</v>
      </c>
      <c r="T58" s="69">
        <f t="shared" si="0"/>
        <v>48</v>
      </c>
      <c r="U58" s="23">
        <f t="shared" si="1"/>
        <v>0.15433088941301593</v>
      </c>
      <c r="V58" s="8">
        <f t="shared" si="2"/>
        <v>0.15564854717167681</v>
      </c>
      <c r="W58" s="11">
        <f t="shared" si="3"/>
        <v>0.14080471710160888</v>
      </c>
      <c r="X58" s="23" t="e">
        <f t="shared" si="7"/>
        <v>#DIV/0!</v>
      </c>
      <c r="Y58" s="8" t="e">
        <f t="shared" si="7"/>
        <v>#DIV/0!</v>
      </c>
      <c r="Z58" s="11" t="e">
        <f t="shared" si="7"/>
        <v>#DIV/0!</v>
      </c>
    </row>
    <row r="59" spans="1:26" x14ac:dyDescent="0.3">
      <c r="A59" s="69" t="s">
        <v>543</v>
      </c>
      <c r="B59" s="11" t="s">
        <v>428</v>
      </c>
      <c r="C59" s="8"/>
      <c r="D59" s="23" t="s">
        <v>429</v>
      </c>
      <c r="E59" s="23" t="s">
        <v>120</v>
      </c>
      <c r="F59" s="8">
        <v>3</v>
      </c>
      <c r="G59" s="59" t="s">
        <v>600</v>
      </c>
      <c r="H59" s="36">
        <v>5.2750000730156898</v>
      </c>
      <c r="I59" s="10">
        <v>4.2612500488758087</v>
      </c>
      <c r="J59" s="37">
        <v>4.7499999403953552</v>
      </c>
      <c r="K59" s="36">
        <v>9.1812498867511749</v>
      </c>
      <c r="L59" s="10">
        <v>7.9187499359250069</v>
      </c>
      <c r="M59" s="37">
        <v>7.9087499529123306</v>
      </c>
      <c r="N59" s="23" t="s">
        <v>32</v>
      </c>
      <c r="O59" s="8" t="s">
        <v>32</v>
      </c>
      <c r="P59" s="11" t="s">
        <v>32</v>
      </c>
      <c r="Q59" s="49">
        <v>32.7160122608745</v>
      </c>
      <c r="R59" s="10">
        <v>34.326740362383099</v>
      </c>
      <c r="S59" s="42">
        <v>33.057291121259489</v>
      </c>
      <c r="T59" s="69">
        <f t="shared" si="0"/>
        <v>48</v>
      </c>
      <c r="U59" s="23">
        <f t="shared" si="1"/>
        <v>0.1484729415222136</v>
      </c>
      <c r="V59" s="8">
        <f t="shared" si="2"/>
        <v>0.18061952454690752</v>
      </c>
      <c r="W59" s="11">
        <f t="shared" si="3"/>
        <v>0.17415990368304254</v>
      </c>
      <c r="X59" s="23" t="e">
        <f t="shared" si="7"/>
        <v>#DIV/0!</v>
      </c>
      <c r="Y59" s="8" t="e">
        <f t="shared" si="7"/>
        <v>#DIV/0!</v>
      </c>
      <c r="Z59" s="11" t="e">
        <f t="shared" si="7"/>
        <v>#DIV/0!</v>
      </c>
    </row>
    <row r="60" spans="1:26" x14ac:dyDescent="0.3">
      <c r="A60" s="69" t="s">
        <v>543</v>
      </c>
      <c r="B60" s="11" t="s">
        <v>431</v>
      </c>
      <c r="C60" s="8"/>
      <c r="D60" s="23" t="s">
        <v>431</v>
      </c>
      <c r="E60" s="23" t="s">
        <v>120</v>
      </c>
      <c r="F60" s="8">
        <v>3</v>
      </c>
      <c r="G60" s="11" t="s">
        <v>601</v>
      </c>
      <c r="H60" s="36">
        <v>5.2312499843537807</v>
      </c>
      <c r="I60" s="10">
        <v>5.3625000640749931</v>
      </c>
      <c r="J60" s="37">
        <v>5.2774999290704727</v>
      </c>
      <c r="K60" s="36">
        <v>6.0812500566244099</v>
      </c>
      <c r="L60" s="10">
        <v>6.6875000745057998</v>
      </c>
      <c r="M60" s="37">
        <v>6.8474998027086196</v>
      </c>
      <c r="N60" s="23" t="s">
        <v>32</v>
      </c>
      <c r="O60" s="8" t="s">
        <v>32</v>
      </c>
      <c r="P60" s="11" t="s">
        <v>32</v>
      </c>
      <c r="Q60" s="49">
        <v>23.305805419756499</v>
      </c>
      <c r="R60" s="10">
        <v>23.197857116501801</v>
      </c>
      <c r="S60" s="42">
        <v>19.905900790759599</v>
      </c>
      <c r="T60" s="69">
        <f t="shared" si="0"/>
        <v>48</v>
      </c>
      <c r="U60" s="23">
        <f t="shared" si="1"/>
        <v>0.15968348888488454</v>
      </c>
      <c r="V60" s="8">
        <f t="shared" si="2"/>
        <v>0.14453493369503564</v>
      </c>
      <c r="W60" s="11">
        <f t="shared" si="3"/>
        <v>0.12112633177736369</v>
      </c>
      <c r="X60" s="23" t="e">
        <f t="shared" si="7"/>
        <v>#DIV/0!</v>
      </c>
      <c r="Y60" s="8" t="e">
        <f t="shared" si="7"/>
        <v>#DIV/0!</v>
      </c>
      <c r="Z60" s="11" t="e">
        <f t="shared" si="7"/>
        <v>#DIV/0!</v>
      </c>
    </row>
    <row r="61" spans="1:26" x14ac:dyDescent="0.3">
      <c r="A61" s="69" t="s">
        <v>543</v>
      </c>
      <c r="B61" s="11" t="s">
        <v>433</v>
      </c>
      <c r="C61" s="8"/>
      <c r="D61" s="23" t="s">
        <v>434</v>
      </c>
      <c r="E61" s="23" t="s">
        <v>120</v>
      </c>
      <c r="F61" s="8">
        <v>3</v>
      </c>
      <c r="G61" s="11" t="s">
        <v>602</v>
      </c>
      <c r="H61" s="36">
        <v>3.7725000642240047</v>
      </c>
      <c r="I61" s="10">
        <v>4.0987499989569187</v>
      </c>
      <c r="J61" s="37">
        <v>3.8637500256299973</v>
      </c>
      <c r="K61" s="36">
        <v>7.1324998512864113</v>
      </c>
      <c r="L61" s="10">
        <v>7.1599999442696571</v>
      </c>
      <c r="M61" s="37">
        <v>7.7687498182058334</v>
      </c>
      <c r="N61" s="23" t="s">
        <v>32</v>
      </c>
      <c r="O61" s="8" t="s">
        <v>32</v>
      </c>
      <c r="P61" s="11" t="s">
        <v>32</v>
      </c>
      <c r="Q61" s="49">
        <v>32.336645355983102</v>
      </c>
      <c r="R61" s="10">
        <v>30.4531667102802</v>
      </c>
      <c r="S61" s="42">
        <v>32.4465944259438</v>
      </c>
      <c r="T61" s="69">
        <f t="shared" si="0"/>
        <v>48</v>
      </c>
      <c r="U61" s="23">
        <f t="shared" si="1"/>
        <v>0.18890434647859877</v>
      </c>
      <c r="V61" s="8">
        <f t="shared" si="2"/>
        <v>0.17721815029861776</v>
      </c>
      <c r="W61" s="11">
        <f t="shared" si="3"/>
        <v>0.17402303665978414</v>
      </c>
      <c r="X61" s="23" t="e">
        <f t="shared" si="7"/>
        <v>#DIV/0!</v>
      </c>
      <c r="Y61" s="8" t="e">
        <f t="shared" si="7"/>
        <v>#DIV/0!</v>
      </c>
      <c r="Z61" s="11" t="e">
        <f t="shared" si="7"/>
        <v>#DIV/0!</v>
      </c>
    </row>
    <row r="62" spans="1:26" x14ac:dyDescent="0.3">
      <c r="A62" s="69" t="s">
        <v>543</v>
      </c>
      <c r="B62" s="23" t="s">
        <v>86</v>
      </c>
      <c r="C62" s="8" t="s">
        <v>86</v>
      </c>
      <c r="D62" s="11" t="s">
        <v>86</v>
      </c>
      <c r="E62" s="23" t="s">
        <v>87</v>
      </c>
      <c r="F62" s="8">
        <v>3</v>
      </c>
      <c r="G62" s="11" t="s">
        <v>559</v>
      </c>
      <c r="H62" s="36">
        <v>5.5787499994039536</v>
      </c>
      <c r="I62" s="10">
        <v>4.6237500384449959</v>
      </c>
      <c r="J62" s="37">
        <v>5.8512499555945396</v>
      </c>
      <c r="K62" s="36">
        <v>10.432500019669533</v>
      </c>
      <c r="L62" s="10">
        <v>8.6825000122189522</v>
      </c>
      <c r="M62" s="37">
        <v>10.362499952316284</v>
      </c>
      <c r="N62" s="23" t="s">
        <v>32</v>
      </c>
      <c r="O62" s="8" t="s">
        <v>32</v>
      </c>
      <c r="P62" s="11" t="s">
        <v>32</v>
      </c>
      <c r="Q62" s="49">
        <v>28.021569982045673</v>
      </c>
      <c r="R62" s="10">
        <v>16.079103115196567</v>
      </c>
      <c r="S62" s="42">
        <v>33.061703099092284</v>
      </c>
      <c r="T62" s="69">
        <f t="shared" si="0"/>
        <v>48</v>
      </c>
      <c r="U62" s="23">
        <f t="shared" si="1"/>
        <v>0.11191616714279712</v>
      </c>
      <c r="V62" s="8">
        <f t="shared" si="2"/>
        <v>7.7162410464383893E-2</v>
      </c>
      <c r="W62" s="11">
        <f t="shared" si="3"/>
        <v>0.13293809107851973</v>
      </c>
      <c r="X62" s="23" t="e">
        <f t="shared" si="7"/>
        <v>#DIV/0!</v>
      </c>
      <c r="Y62" s="8" t="e">
        <f t="shared" si="7"/>
        <v>#DIV/0!</v>
      </c>
      <c r="Z62" s="11" t="e">
        <f t="shared" si="7"/>
        <v>#DIV/0!</v>
      </c>
    </row>
    <row r="63" spans="1:26" x14ac:dyDescent="0.3">
      <c r="A63" s="69" t="s">
        <v>543</v>
      </c>
      <c r="B63" s="23" t="s">
        <v>86</v>
      </c>
      <c r="C63" s="8" t="s">
        <v>86</v>
      </c>
      <c r="D63" s="11" t="s">
        <v>86</v>
      </c>
      <c r="E63" s="23" t="s">
        <v>87</v>
      </c>
      <c r="F63" s="8">
        <v>3</v>
      </c>
      <c r="G63" s="11" t="s">
        <v>559</v>
      </c>
      <c r="H63" s="36">
        <v>4.6912500634789467</v>
      </c>
      <c r="I63" s="10">
        <v>4.5912499539554119</v>
      </c>
      <c r="J63" s="37">
        <v>4.6487500891089439</v>
      </c>
      <c r="K63" s="36">
        <v>9.1737499460577965</v>
      </c>
      <c r="L63" s="10">
        <v>8.3162499591708183</v>
      </c>
      <c r="M63" s="37">
        <v>8.5349999368190765</v>
      </c>
      <c r="N63" s="23" t="s">
        <v>32</v>
      </c>
      <c r="O63" s="8" t="s">
        <v>32</v>
      </c>
      <c r="P63" s="11" t="s">
        <v>32</v>
      </c>
      <c r="Q63" s="49">
        <v>5.4673446402755976</v>
      </c>
      <c r="R63" s="10">
        <v>8.1534001810187178</v>
      </c>
      <c r="S63" s="42">
        <v>8.5390654101307142</v>
      </c>
      <c r="T63" s="69">
        <f t="shared" si="0"/>
        <v>48</v>
      </c>
      <c r="U63" s="23">
        <f t="shared" si="1"/>
        <v>2.483237803708005E-2</v>
      </c>
      <c r="V63" s="8">
        <f t="shared" si="2"/>
        <v>4.0850745132764051E-2</v>
      </c>
      <c r="W63" s="11">
        <f t="shared" si="3"/>
        <v>4.1686513734337689E-2</v>
      </c>
      <c r="X63" s="23" t="e">
        <f t="shared" si="7"/>
        <v>#DIV/0!</v>
      </c>
      <c r="Y63" s="8" t="e">
        <f t="shared" si="7"/>
        <v>#DIV/0!</v>
      </c>
      <c r="Z63" s="11" t="e">
        <f t="shared" si="7"/>
        <v>#DIV/0!</v>
      </c>
    </row>
    <row r="64" spans="1:26" x14ac:dyDescent="0.3">
      <c r="A64" s="69" t="s">
        <v>543</v>
      </c>
      <c r="B64" s="23" t="s">
        <v>117</v>
      </c>
      <c r="C64" s="8" t="s">
        <v>118</v>
      </c>
      <c r="D64" s="65" t="s">
        <v>119</v>
      </c>
      <c r="E64" s="23" t="s">
        <v>120</v>
      </c>
      <c r="F64" s="8">
        <v>5</v>
      </c>
      <c r="G64" s="61" t="s">
        <v>603</v>
      </c>
      <c r="H64" s="23">
        <v>5.6824999861419201</v>
      </c>
      <c r="I64" s="8">
        <v>5.6687500327825546</v>
      </c>
      <c r="J64" s="11">
        <v>5.5699999444186687</v>
      </c>
      <c r="K64" s="23">
        <v>12.527499720454216</v>
      </c>
      <c r="L64" s="8">
        <v>12.231250107288361</v>
      </c>
      <c r="M64" s="11">
        <v>12.083750031888485</v>
      </c>
      <c r="N64" s="23">
        <v>14.787500351667404</v>
      </c>
      <c r="O64" s="8">
        <v>14.629999548196793</v>
      </c>
      <c r="P64" s="11">
        <v>14.24499973654747</v>
      </c>
      <c r="Q64" s="48">
        <v>20.671094674556219</v>
      </c>
      <c r="R64" s="8">
        <v>16.89286982248521</v>
      </c>
      <c r="S64" s="20">
        <v>18.745160349854228</v>
      </c>
      <c r="T64" s="69">
        <f t="shared" si="0"/>
        <v>72</v>
      </c>
      <c r="U64" s="23">
        <f t="shared" si="1"/>
        <v>3.4376197591669717E-2</v>
      </c>
      <c r="V64" s="8">
        <f t="shared" si="2"/>
        <v>2.8773411129801921E-2</v>
      </c>
      <c r="W64" s="11">
        <f t="shared" si="3"/>
        <v>3.2318127479029297E-2</v>
      </c>
      <c r="X64" s="23" t="e">
        <f>U64/AVERAGE($U$353:$W$353)</f>
        <v>#DIV/0!</v>
      </c>
      <c r="Y64" s="8" t="e">
        <f>V64/AVERAGE($U$353:$W$353)</f>
        <v>#DIV/0!</v>
      </c>
      <c r="Z64" s="11" t="e">
        <f>W64/AVERAGE($U$353:$W$353)</f>
        <v>#DIV/0!</v>
      </c>
    </row>
    <row r="65" spans="1:26" x14ac:dyDescent="0.3">
      <c r="A65" s="69" t="s">
        <v>543</v>
      </c>
      <c r="B65" s="23" t="s">
        <v>122</v>
      </c>
      <c r="C65" s="8" t="s">
        <v>123</v>
      </c>
      <c r="D65" s="11" t="s">
        <v>122</v>
      </c>
      <c r="E65" s="23" t="s">
        <v>120</v>
      </c>
      <c r="F65" s="8">
        <v>5</v>
      </c>
      <c r="G65" s="11" t="s">
        <v>604</v>
      </c>
      <c r="H65" s="23">
        <v>6.536250002682209</v>
      </c>
      <c r="I65" s="8">
        <v>6.4062499441206455</v>
      </c>
      <c r="J65" s="11">
        <v>6.1487499624490738</v>
      </c>
      <c r="K65" s="23">
        <v>12.231250293552876</v>
      </c>
      <c r="L65" s="8">
        <v>12.175000086426735</v>
      </c>
      <c r="M65" s="11">
        <v>12.537500075995922</v>
      </c>
      <c r="N65" s="23">
        <v>14.528749883174896</v>
      </c>
      <c r="O65" s="8">
        <v>15.068750083446503</v>
      </c>
      <c r="P65" s="11">
        <v>14.057499915361404</v>
      </c>
      <c r="Q65" s="48">
        <v>9.8731360946745568</v>
      </c>
      <c r="R65" s="8">
        <v>8.0510355029585803</v>
      </c>
      <c r="S65" s="20">
        <v>7.2322448979591849</v>
      </c>
      <c r="T65" s="69">
        <f t="shared" si="0"/>
        <v>72</v>
      </c>
      <c r="U65" s="23">
        <f t="shared" si="1"/>
        <v>1.6816787357719257E-2</v>
      </c>
      <c r="V65" s="8">
        <f t="shared" si="2"/>
        <v>1.377658358283137E-2</v>
      </c>
      <c r="W65" s="11">
        <f t="shared" si="3"/>
        <v>1.2017688358459637E-2</v>
      </c>
      <c r="X65" s="23" t="e">
        <f t="shared" ref="X65:Z81" si="8">U65/AVERAGE($U$353:$W$353)</f>
        <v>#DIV/0!</v>
      </c>
      <c r="Y65" s="8" t="e">
        <f t="shared" si="8"/>
        <v>#DIV/0!</v>
      </c>
      <c r="Z65" s="11" t="e">
        <f t="shared" si="8"/>
        <v>#DIV/0!</v>
      </c>
    </row>
    <row r="66" spans="1:26" x14ac:dyDescent="0.3">
      <c r="A66" s="69" t="s">
        <v>543</v>
      </c>
      <c r="B66" s="23" t="s">
        <v>125</v>
      </c>
      <c r="C66" s="8" t="s">
        <v>126</v>
      </c>
      <c r="D66" s="11" t="s">
        <v>125</v>
      </c>
      <c r="E66" s="23" t="s">
        <v>120</v>
      </c>
      <c r="F66" s="8">
        <v>5</v>
      </c>
      <c r="G66" s="61" t="s">
        <v>605</v>
      </c>
      <c r="H66" s="23">
        <v>6.3974999822676182</v>
      </c>
      <c r="I66" s="8">
        <v>6.3662501983344555</v>
      </c>
      <c r="J66" s="11">
        <v>6.4112499356269836</v>
      </c>
      <c r="K66" s="23">
        <v>13.133750110864639</v>
      </c>
      <c r="L66" s="8">
        <v>12.491250038146973</v>
      </c>
      <c r="M66" s="11">
        <v>12.991249933838844</v>
      </c>
      <c r="N66" s="23">
        <v>15.461250022053719</v>
      </c>
      <c r="O66" s="8">
        <v>15.912500396370888</v>
      </c>
      <c r="P66" s="11">
        <v>15.4424998909235</v>
      </c>
      <c r="Q66" s="48">
        <v>20.299112426035503</v>
      </c>
      <c r="R66" s="8">
        <v>18.234142011834319</v>
      </c>
      <c r="S66" s="20">
        <v>17.784344023323619</v>
      </c>
      <c r="T66" s="69">
        <f t="shared" si="0"/>
        <v>72</v>
      </c>
      <c r="U66" s="23">
        <f t="shared" si="1"/>
        <v>3.2199346871429509E-2</v>
      </c>
      <c r="V66" s="8">
        <f t="shared" si="2"/>
        <v>3.0411524660844513E-2</v>
      </c>
      <c r="W66" s="11">
        <f t="shared" si="3"/>
        <v>2.8519747448434513E-2</v>
      </c>
      <c r="X66" s="23" t="e">
        <f t="shared" si="8"/>
        <v>#DIV/0!</v>
      </c>
      <c r="Y66" s="8" t="e">
        <f t="shared" si="8"/>
        <v>#DIV/0!</v>
      </c>
      <c r="Z66" s="11" t="e">
        <f t="shared" si="8"/>
        <v>#DIV/0!</v>
      </c>
    </row>
    <row r="67" spans="1:26" x14ac:dyDescent="0.3">
      <c r="A67" s="69" t="s">
        <v>543</v>
      </c>
      <c r="B67" s="23" t="s">
        <v>128</v>
      </c>
      <c r="C67" s="8" t="s">
        <v>129</v>
      </c>
      <c r="D67" s="11" t="s">
        <v>128</v>
      </c>
      <c r="E67" s="23" t="s">
        <v>120</v>
      </c>
      <c r="F67" s="8">
        <v>5</v>
      </c>
      <c r="G67" s="11" t="s">
        <v>606</v>
      </c>
      <c r="H67" s="23">
        <v>6.172499991953373</v>
      </c>
      <c r="I67" s="8">
        <v>6.034999992698431</v>
      </c>
      <c r="J67" s="11">
        <v>5.8787500485777855</v>
      </c>
      <c r="K67" s="23">
        <v>12.723749689757824</v>
      </c>
      <c r="L67" s="8">
        <v>12.283749878406525</v>
      </c>
      <c r="M67" s="11">
        <v>12.236250005662441</v>
      </c>
      <c r="N67" s="23">
        <v>14.73499983549118</v>
      </c>
      <c r="O67" s="8">
        <v>15.534999594092369</v>
      </c>
      <c r="P67" s="11">
        <v>14.902500063180923</v>
      </c>
      <c r="Q67" s="48">
        <v>18.497928994082841</v>
      </c>
      <c r="R67" s="8">
        <v>16.712337278106506</v>
      </c>
      <c r="S67" s="20">
        <v>14.52253644314869</v>
      </c>
      <c r="T67" s="69">
        <f t="shared" ref="T67:T120" si="9">IF(N67="NA",48,72)</f>
        <v>72</v>
      </c>
      <c r="U67" s="23">
        <f t="shared" ref="U67:U120" si="10">Q67/K67/(T67-24)</f>
        <v>3.028773200562657E-2</v>
      </c>
      <c r="V67" s="8">
        <f t="shared" ref="V67:V120" si="11">R67/L67/(T67-24)</f>
        <v>2.8344251286485118E-2</v>
      </c>
      <c r="W67" s="11">
        <f t="shared" ref="W67:W120" si="12">S67/M67/(T67-24)</f>
        <v>2.4725944829959223E-2</v>
      </c>
      <c r="X67" s="23" t="e">
        <f t="shared" si="8"/>
        <v>#DIV/0!</v>
      </c>
      <c r="Y67" s="8" t="e">
        <f t="shared" si="8"/>
        <v>#DIV/0!</v>
      </c>
      <c r="Z67" s="11" t="e">
        <f t="shared" si="8"/>
        <v>#DIV/0!</v>
      </c>
    </row>
    <row r="68" spans="1:26" x14ac:dyDescent="0.3">
      <c r="A68" s="69" t="s">
        <v>543</v>
      </c>
      <c r="B68" s="23" t="s">
        <v>131</v>
      </c>
      <c r="C68" s="8" t="s">
        <v>132</v>
      </c>
      <c r="D68" s="11" t="s">
        <v>131</v>
      </c>
      <c r="E68" s="23" t="s">
        <v>120</v>
      </c>
      <c r="F68" s="8">
        <v>5</v>
      </c>
      <c r="G68" s="61" t="s">
        <v>607</v>
      </c>
      <c r="H68" s="23">
        <v>4.3974999338388443</v>
      </c>
      <c r="I68" s="8">
        <v>4.1637500748038292</v>
      </c>
      <c r="J68" s="11">
        <v>4.1800000704824924</v>
      </c>
      <c r="K68" s="23">
        <v>9.218749962747097</v>
      </c>
      <c r="L68" s="8">
        <v>8.9387500658631325</v>
      </c>
      <c r="M68" s="11">
        <v>8.750000037252903</v>
      </c>
      <c r="N68" s="23">
        <v>12.328749895095825</v>
      </c>
      <c r="O68" s="8">
        <v>11.723750084638596</v>
      </c>
      <c r="P68" s="11">
        <v>11.466250196099281</v>
      </c>
      <c r="Q68" s="48">
        <v>10.508757396449704</v>
      </c>
      <c r="R68" s="8">
        <v>8.9497928994082834</v>
      </c>
      <c r="S68" s="20">
        <v>5.4560641399416916</v>
      </c>
      <c r="T68" s="69">
        <f t="shared" si="9"/>
        <v>72</v>
      </c>
      <c r="U68" s="23">
        <f t="shared" si="10"/>
        <v>2.3748604381729984E-2</v>
      </c>
      <c r="V68" s="8">
        <f t="shared" si="11"/>
        <v>2.0859070604259972E-2</v>
      </c>
      <c r="W68" s="11">
        <f t="shared" si="12"/>
        <v>1.2990628849315802E-2</v>
      </c>
      <c r="X68" s="23" t="e">
        <f t="shared" si="8"/>
        <v>#DIV/0!</v>
      </c>
      <c r="Y68" s="8" t="e">
        <f t="shared" si="8"/>
        <v>#DIV/0!</v>
      </c>
      <c r="Z68" s="11" t="e">
        <f t="shared" si="8"/>
        <v>#DIV/0!</v>
      </c>
    </row>
    <row r="69" spans="1:26" x14ac:dyDescent="0.3">
      <c r="A69" s="69" t="s">
        <v>543</v>
      </c>
      <c r="B69" s="23" t="s">
        <v>134</v>
      </c>
      <c r="C69" s="8" t="s">
        <v>135</v>
      </c>
      <c r="D69" s="11" t="s">
        <v>134</v>
      </c>
      <c r="E69" s="23" t="s">
        <v>120</v>
      </c>
      <c r="F69" s="8">
        <v>5</v>
      </c>
      <c r="G69" s="11" t="s">
        <v>608</v>
      </c>
      <c r="H69" s="23">
        <v>6.1762499623000622</v>
      </c>
      <c r="I69" s="8">
        <v>6.3087500631809235</v>
      </c>
      <c r="J69" s="11">
        <v>6.2200000509619713</v>
      </c>
      <c r="K69" s="23">
        <v>12.332499958574772</v>
      </c>
      <c r="L69" s="8">
        <v>12.096249684691429</v>
      </c>
      <c r="M69" s="11">
        <v>11.711250059306622</v>
      </c>
      <c r="N69" s="23">
        <v>14.063749834895134</v>
      </c>
      <c r="O69" s="8">
        <v>14.91749994456768</v>
      </c>
      <c r="P69" s="11">
        <v>14.122500270605087</v>
      </c>
      <c r="Q69" s="48">
        <v>6.3357692307692313</v>
      </c>
      <c r="R69" s="8">
        <v>7.838461538461539</v>
      </c>
      <c r="S69" s="20">
        <v>4.6923615160349854</v>
      </c>
      <c r="T69" s="69">
        <f t="shared" si="9"/>
        <v>72</v>
      </c>
      <c r="U69" s="23">
        <f t="shared" si="10"/>
        <v>1.0703036103877399E-2</v>
      </c>
      <c r="V69" s="8">
        <f t="shared" si="11"/>
        <v>1.350015800830816E-2</v>
      </c>
      <c r="W69" s="11">
        <f t="shared" si="12"/>
        <v>8.3473182699550386E-3</v>
      </c>
      <c r="X69" s="23" t="e">
        <f t="shared" si="8"/>
        <v>#DIV/0!</v>
      </c>
      <c r="Y69" s="8" t="e">
        <f t="shared" si="8"/>
        <v>#DIV/0!</v>
      </c>
      <c r="Z69" s="11" t="e">
        <f t="shared" si="8"/>
        <v>#DIV/0!</v>
      </c>
    </row>
    <row r="70" spans="1:26" x14ac:dyDescent="0.3">
      <c r="A70" s="69" t="s">
        <v>543</v>
      </c>
      <c r="B70" s="23" t="s">
        <v>137</v>
      </c>
      <c r="C70" s="8" t="s">
        <v>138</v>
      </c>
      <c r="D70" s="11" t="s">
        <v>137</v>
      </c>
      <c r="E70" s="23" t="s">
        <v>120</v>
      </c>
      <c r="F70" s="8">
        <v>5</v>
      </c>
      <c r="G70" s="61" t="s">
        <v>609</v>
      </c>
      <c r="H70" s="23">
        <v>6.0675001703202724</v>
      </c>
      <c r="I70" s="8">
        <v>5.5575000122189522</v>
      </c>
      <c r="J70" s="11">
        <v>5.1924998871982098</v>
      </c>
      <c r="K70" s="23">
        <v>12.780000083148479</v>
      </c>
      <c r="L70" s="8">
        <v>11.372499912977219</v>
      </c>
      <c r="M70" s="11">
        <v>10.673750005662441</v>
      </c>
      <c r="N70" s="23">
        <v>13.322500139474869</v>
      </c>
      <c r="O70" s="8">
        <v>13.066249899566174</v>
      </c>
      <c r="P70" s="11">
        <v>12.727500312030315</v>
      </c>
      <c r="Q70" s="50">
        <v>6.1766180758017493</v>
      </c>
      <c r="R70" s="9">
        <v>4.4165597667638483</v>
      </c>
      <c r="S70" s="66">
        <v>4.1018075801749276</v>
      </c>
      <c r="T70" s="69">
        <f t="shared" si="9"/>
        <v>72</v>
      </c>
      <c r="U70" s="23">
        <f t="shared" si="10"/>
        <v>1.006882178471538E-2</v>
      </c>
      <c r="V70" s="8">
        <f t="shared" si="11"/>
        <v>8.0907155429023291E-3</v>
      </c>
      <c r="W70" s="11">
        <f t="shared" si="12"/>
        <v>8.006026423857034E-3</v>
      </c>
      <c r="X70" s="23" t="e">
        <f t="shared" si="8"/>
        <v>#DIV/0!</v>
      </c>
      <c r="Y70" s="8" t="e">
        <f t="shared" si="8"/>
        <v>#DIV/0!</v>
      </c>
      <c r="Z70" s="11" t="e">
        <f t="shared" si="8"/>
        <v>#DIV/0!</v>
      </c>
    </row>
    <row r="71" spans="1:26" x14ac:dyDescent="0.3">
      <c r="A71" s="69" t="s">
        <v>543</v>
      </c>
      <c r="B71" s="23" t="s">
        <v>140</v>
      </c>
      <c r="C71" s="8" t="s">
        <v>141</v>
      </c>
      <c r="D71" s="11" t="s">
        <v>140</v>
      </c>
      <c r="E71" s="23" t="s">
        <v>120</v>
      </c>
      <c r="F71" s="8">
        <v>5</v>
      </c>
      <c r="G71" s="11" t="s">
        <v>610</v>
      </c>
      <c r="H71" s="23">
        <v>2.5550000369548798</v>
      </c>
      <c r="I71" s="8">
        <v>2.5049999821931124</v>
      </c>
      <c r="J71" s="11">
        <v>2.5224999990314245</v>
      </c>
      <c r="K71" s="23">
        <v>2.8112499974668026</v>
      </c>
      <c r="L71" s="8">
        <v>2.8412500396370888</v>
      </c>
      <c r="M71" s="11">
        <v>2.8037500102072954</v>
      </c>
      <c r="N71" s="23">
        <v>6.0762500129640102</v>
      </c>
      <c r="O71" s="8">
        <v>6.1187500804662696</v>
      </c>
      <c r="P71" s="11">
        <v>6.4237499348819203</v>
      </c>
      <c r="Q71" s="51">
        <v>2.1782507288629738</v>
      </c>
      <c r="R71" s="13">
        <v>0</v>
      </c>
      <c r="S71" s="19">
        <v>0</v>
      </c>
      <c r="T71" s="69">
        <f t="shared" si="9"/>
        <v>72</v>
      </c>
      <c r="U71" s="23">
        <f t="shared" si="10"/>
        <v>1.6142364983146435E-2</v>
      </c>
      <c r="V71" s="8">
        <f t="shared" si="11"/>
        <v>0</v>
      </c>
      <c r="W71" s="11">
        <f t="shared" si="12"/>
        <v>0</v>
      </c>
      <c r="X71" s="23" t="e">
        <f t="shared" si="8"/>
        <v>#DIV/0!</v>
      </c>
      <c r="Y71" s="8" t="e">
        <f t="shared" si="8"/>
        <v>#DIV/0!</v>
      </c>
      <c r="Z71" s="11" t="e">
        <f t="shared" si="8"/>
        <v>#DIV/0!</v>
      </c>
    </row>
    <row r="72" spans="1:26" x14ac:dyDescent="0.3">
      <c r="A72" s="69" t="s">
        <v>543</v>
      </c>
      <c r="B72" s="23" t="s">
        <v>143</v>
      </c>
      <c r="C72" s="8" t="s">
        <v>144</v>
      </c>
      <c r="D72" s="11" t="s">
        <v>143</v>
      </c>
      <c r="E72" s="23" t="s">
        <v>120</v>
      </c>
      <c r="F72" s="8">
        <v>5</v>
      </c>
      <c r="G72" s="61" t="s">
        <v>611</v>
      </c>
      <c r="H72" s="23">
        <v>2.4162500165402889</v>
      </c>
      <c r="I72" s="8">
        <v>2.356250025331974</v>
      </c>
      <c r="J72" s="11">
        <v>2.3200000170618296</v>
      </c>
      <c r="K72" s="23">
        <v>2.5337500497698784</v>
      </c>
      <c r="L72" s="8">
        <v>2.5125000160187483</v>
      </c>
      <c r="M72" s="11">
        <v>2.4724999908357859</v>
      </c>
      <c r="N72" s="23">
        <v>2.9550000093877316</v>
      </c>
      <c r="O72" s="8">
        <v>3.7062499672174454</v>
      </c>
      <c r="P72" s="11">
        <v>7.7562497928738594</v>
      </c>
      <c r="Q72" s="48">
        <v>1.0763265306122449</v>
      </c>
      <c r="R72" s="8">
        <v>0</v>
      </c>
      <c r="S72" s="20">
        <v>0</v>
      </c>
      <c r="T72" s="69">
        <f t="shared" si="9"/>
        <v>72</v>
      </c>
      <c r="U72" s="23">
        <f t="shared" si="10"/>
        <v>8.8499137433827226E-3</v>
      </c>
      <c r="V72" s="8">
        <f t="shared" si="11"/>
        <v>0</v>
      </c>
      <c r="W72" s="11">
        <f t="shared" si="12"/>
        <v>0</v>
      </c>
      <c r="X72" s="23" t="e">
        <f t="shared" si="8"/>
        <v>#DIV/0!</v>
      </c>
      <c r="Y72" s="8" t="e">
        <f t="shared" si="8"/>
        <v>#DIV/0!</v>
      </c>
      <c r="Z72" s="11" t="e">
        <f t="shared" si="8"/>
        <v>#DIV/0!</v>
      </c>
    </row>
    <row r="73" spans="1:26" x14ac:dyDescent="0.3">
      <c r="A73" s="69" t="s">
        <v>543</v>
      </c>
      <c r="B73" s="23" t="s">
        <v>64</v>
      </c>
      <c r="C73" s="8" t="s">
        <v>65</v>
      </c>
      <c r="D73" s="11" t="s">
        <v>64</v>
      </c>
      <c r="E73" s="23" t="s">
        <v>120</v>
      </c>
      <c r="F73" s="8">
        <v>5</v>
      </c>
      <c r="G73" s="11" t="s">
        <v>612</v>
      </c>
      <c r="H73" s="23">
        <v>5.5187500081956387</v>
      </c>
      <c r="I73" s="8">
        <v>5.5387499742209911</v>
      </c>
      <c r="J73" s="11">
        <v>5.9737498871982098</v>
      </c>
      <c r="K73" s="23">
        <v>11.413749866187572</v>
      </c>
      <c r="L73" s="8">
        <v>11.698749847710133</v>
      </c>
      <c r="M73" s="11">
        <v>11.646249890327454</v>
      </c>
      <c r="N73" s="23">
        <v>13.963750377297401</v>
      </c>
      <c r="O73" s="8">
        <v>14.707499742507935</v>
      </c>
      <c r="P73" s="11">
        <v>13.765000179409981</v>
      </c>
      <c r="Q73" s="48">
        <v>8.7671720116618079</v>
      </c>
      <c r="R73" s="8">
        <v>7.3974927113702629</v>
      </c>
      <c r="S73" s="20">
        <v>5.5908746355685137</v>
      </c>
      <c r="T73" s="69">
        <f t="shared" si="9"/>
        <v>72</v>
      </c>
      <c r="U73" s="23">
        <f t="shared" si="10"/>
        <v>1.6002577509667264E-2</v>
      </c>
      <c r="V73" s="8">
        <f t="shared" si="11"/>
        <v>1.3173581236720454E-2</v>
      </c>
      <c r="W73" s="11">
        <f t="shared" si="12"/>
        <v>1.000120691248558E-2</v>
      </c>
      <c r="X73" s="23" t="e">
        <f t="shared" si="8"/>
        <v>#DIV/0!</v>
      </c>
      <c r="Y73" s="8" t="e">
        <f t="shared" si="8"/>
        <v>#DIV/0!</v>
      </c>
      <c r="Z73" s="11" t="e">
        <f t="shared" si="8"/>
        <v>#DIV/0!</v>
      </c>
    </row>
    <row r="74" spans="1:26" x14ac:dyDescent="0.3">
      <c r="A74" s="69" t="s">
        <v>543</v>
      </c>
      <c r="B74" s="23" t="s">
        <v>56</v>
      </c>
      <c r="C74" s="8" t="s">
        <v>57</v>
      </c>
      <c r="D74" s="11" t="s">
        <v>58</v>
      </c>
      <c r="E74" s="23" t="s">
        <v>120</v>
      </c>
      <c r="F74" s="8">
        <v>5</v>
      </c>
      <c r="G74" s="61" t="s">
        <v>613</v>
      </c>
      <c r="H74" s="23">
        <v>6.2000001780688763</v>
      </c>
      <c r="I74" s="8">
        <v>6.3625000417232513</v>
      </c>
      <c r="J74" s="11">
        <v>6.2074999324977398</v>
      </c>
      <c r="K74" s="23">
        <v>12.157499976456165</v>
      </c>
      <c r="L74" s="8">
        <v>12.736249901354313</v>
      </c>
      <c r="M74" s="11">
        <v>12.178749963641167</v>
      </c>
      <c r="N74" s="23">
        <v>14.045000076293945</v>
      </c>
      <c r="O74" s="8">
        <v>15.313750132918358</v>
      </c>
      <c r="P74" s="11">
        <v>14.05625008046627</v>
      </c>
      <c r="Q74" s="48">
        <v>6.1430320699708449</v>
      </c>
      <c r="R74" s="8">
        <v>5.6322740524781345</v>
      </c>
      <c r="S74" s="20">
        <v>4.1339358600583092</v>
      </c>
      <c r="T74" s="69">
        <f t="shared" si="9"/>
        <v>72</v>
      </c>
      <c r="U74" s="23">
        <f t="shared" si="10"/>
        <v>1.0526821718190501E-2</v>
      </c>
      <c r="V74" s="8">
        <f t="shared" si="11"/>
        <v>9.2129978344319286E-3</v>
      </c>
      <c r="W74" s="11">
        <f t="shared" si="12"/>
        <v>7.0716341174858781E-3</v>
      </c>
      <c r="X74" s="23" t="e">
        <f t="shared" si="8"/>
        <v>#DIV/0!</v>
      </c>
      <c r="Y74" s="8" t="e">
        <f t="shared" si="8"/>
        <v>#DIV/0!</v>
      </c>
      <c r="Z74" s="11" t="e">
        <f t="shared" si="8"/>
        <v>#DIV/0!</v>
      </c>
    </row>
    <row r="75" spans="1:26" x14ac:dyDescent="0.3">
      <c r="A75" s="69" t="s">
        <v>543</v>
      </c>
      <c r="B75" s="23" t="s">
        <v>148</v>
      </c>
      <c r="C75" s="8" t="s">
        <v>149</v>
      </c>
      <c r="D75" s="11" t="s">
        <v>150</v>
      </c>
      <c r="E75" s="23" t="s">
        <v>120</v>
      </c>
      <c r="F75" s="8">
        <v>5</v>
      </c>
      <c r="G75" s="11" t="s">
        <v>614</v>
      </c>
      <c r="H75" s="23">
        <v>6.0812500305473804</v>
      </c>
      <c r="I75" s="8">
        <v>6.2487500719726086</v>
      </c>
      <c r="J75" s="11">
        <v>6.3237499445676804</v>
      </c>
      <c r="K75" s="23">
        <v>12.962500192224979</v>
      </c>
      <c r="L75" s="8">
        <v>12.906249985098839</v>
      </c>
      <c r="M75" s="11">
        <v>12.670000270009041</v>
      </c>
      <c r="N75" s="23">
        <v>15.566250309348106</v>
      </c>
      <c r="O75" s="8">
        <v>15.821250155568123</v>
      </c>
      <c r="P75" s="11">
        <v>15.68249985575676</v>
      </c>
      <c r="Q75" s="48">
        <v>9.3546647230320712</v>
      </c>
      <c r="R75" s="8">
        <v>10.37851311953353</v>
      </c>
      <c r="S75" s="20">
        <v>8.0684548104956288</v>
      </c>
      <c r="T75" s="69">
        <f t="shared" si="9"/>
        <v>72</v>
      </c>
      <c r="U75" s="23">
        <f t="shared" si="10"/>
        <v>1.5034819325472218E-2</v>
      </c>
      <c r="V75" s="8">
        <f t="shared" si="11"/>
        <v>1.6753047831341798E-2</v>
      </c>
      <c r="W75" s="11">
        <f t="shared" si="12"/>
        <v>1.3266993288854313E-2</v>
      </c>
      <c r="X75" s="23" t="e">
        <f t="shared" si="8"/>
        <v>#DIV/0!</v>
      </c>
      <c r="Y75" s="8" t="e">
        <f t="shared" si="8"/>
        <v>#DIV/0!</v>
      </c>
      <c r="Z75" s="11" t="e">
        <f t="shared" si="8"/>
        <v>#DIV/0!</v>
      </c>
    </row>
    <row r="76" spans="1:26" x14ac:dyDescent="0.3">
      <c r="A76" s="69" t="s">
        <v>543</v>
      </c>
      <c r="B76" s="23" t="s">
        <v>152</v>
      </c>
      <c r="C76" s="8" t="s">
        <v>153</v>
      </c>
      <c r="D76" s="11" t="s">
        <v>152</v>
      </c>
      <c r="E76" s="23" t="s">
        <v>120</v>
      </c>
      <c r="F76" s="8">
        <v>5</v>
      </c>
      <c r="G76" s="61" t="s">
        <v>615</v>
      </c>
      <c r="H76" s="23">
        <v>6.3775000162422657</v>
      </c>
      <c r="I76" s="8">
        <v>6.2662499956786633</v>
      </c>
      <c r="J76" s="11">
        <v>6.1787499114871025</v>
      </c>
      <c r="K76" s="23">
        <v>12.877500057220459</v>
      </c>
      <c r="L76" s="8">
        <v>11.999999918043613</v>
      </c>
      <c r="M76" s="11">
        <v>12.521250173449516</v>
      </c>
      <c r="N76" s="23">
        <v>17.082499757409</v>
      </c>
      <c r="O76" s="8">
        <v>16.767499804496701</v>
      </c>
      <c r="P76" s="11">
        <v>17.5537503063678</v>
      </c>
      <c r="Q76" s="48">
        <v>6.0287755102040821</v>
      </c>
      <c r="R76" s="8">
        <v>6.7014285714285728</v>
      </c>
      <c r="S76" s="20">
        <v>5.5473177842565606</v>
      </c>
      <c r="T76" s="69">
        <f t="shared" si="9"/>
        <v>72</v>
      </c>
      <c r="U76" s="23">
        <f t="shared" si="10"/>
        <v>9.7534062696815367E-3</v>
      </c>
      <c r="V76" s="8">
        <f t="shared" si="11"/>
        <v>1.1634424682634223E-2</v>
      </c>
      <c r="W76" s="11">
        <f t="shared" si="12"/>
        <v>9.2298387864178048E-3</v>
      </c>
      <c r="X76" s="23" t="e">
        <f t="shared" si="8"/>
        <v>#DIV/0!</v>
      </c>
      <c r="Y76" s="8" t="e">
        <f t="shared" si="8"/>
        <v>#DIV/0!</v>
      </c>
      <c r="Z76" s="11" t="e">
        <f t="shared" si="8"/>
        <v>#DIV/0!</v>
      </c>
    </row>
    <row r="77" spans="1:26" x14ac:dyDescent="0.3">
      <c r="A77" s="69" t="s">
        <v>543</v>
      </c>
      <c r="B77" s="23" t="s">
        <v>155</v>
      </c>
      <c r="C77" s="8" t="s">
        <v>156</v>
      </c>
      <c r="D77" s="11" t="s">
        <v>157</v>
      </c>
      <c r="E77" s="23" t="s">
        <v>120</v>
      </c>
      <c r="F77" s="8">
        <v>5</v>
      </c>
      <c r="G77" s="11" t="s">
        <v>616</v>
      </c>
      <c r="H77" s="23">
        <v>6.2725000083446503</v>
      </c>
      <c r="I77" s="8">
        <v>5.7450000196695328</v>
      </c>
      <c r="J77" s="11">
        <v>5.8212500996887684</v>
      </c>
      <c r="K77" s="23">
        <v>11.316250078380108</v>
      </c>
      <c r="L77" s="8">
        <v>11.017500050365925</v>
      </c>
      <c r="M77" s="11">
        <v>12.032500095665455</v>
      </c>
      <c r="N77" s="23">
        <v>14.126249775290489</v>
      </c>
      <c r="O77" s="8">
        <v>15.470000028610199</v>
      </c>
      <c r="P77" s="11">
        <v>15.8849999979138</v>
      </c>
      <c r="Q77" s="48">
        <v>0</v>
      </c>
      <c r="R77" s="8">
        <v>5.9645772594752184</v>
      </c>
      <c r="S77" s="20">
        <v>4.2010787172011668</v>
      </c>
      <c r="T77" s="69">
        <f t="shared" si="9"/>
        <v>72</v>
      </c>
      <c r="U77" s="23">
        <f t="shared" si="10"/>
        <v>0</v>
      </c>
      <c r="V77" s="8">
        <f t="shared" si="11"/>
        <v>1.1278604553756269E-2</v>
      </c>
      <c r="W77" s="11">
        <f t="shared" si="12"/>
        <v>7.2738393998893957E-3</v>
      </c>
      <c r="X77" s="23" t="e">
        <f t="shared" si="8"/>
        <v>#DIV/0!</v>
      </c>
      <c r="Y77" s="8" t="e">
        <f t="shared" si="8"/>
        <v>#DIV/0!</v>
      </c>
      <c r="Z77" s="11" t="e">
        <f t="shared" si="8"/>
        <v>#DIV/0!</v>
      </c>
    </row>
    <row r="78" spans="1:26" x14ac:dyDescent="0.3">
      <c r="A78" s="69" t="s">
        <v>543</v>
      </c>
      <c r="B78" s="23" t="s">
        <v>159</v>
      </c>
      <c r="C78" s="8" t="s">
        <v>160</v>
      </c>
      <c r="D78" s="11" t="s">
        <v>161</v>
      </c>
      <c r="E78" s="23" t="s">
        <v>120</v>
      </c>
      <c r="F78" s="8">
        <v>5</v>
      </c>
      <c r="G78" s="61" t="s">
        <v>617</v>
      </c>
      <c r="H78" s="23">
        <v>5.9524999931454659</v>
      </c>
      <c r="I78" s="8">
        <v>5.8312499895691872</v>
      </c>
      <c r="J78" s="11">
        <v>5.8837499469518661</v>
      </c>
      <c r="K78" s="23">
        <v>12.382500059902668</v>
      </c>
      <c r="L78" s="8">
        <v>12.61999998241663</v>
      </c>
      <c r="M78" s="11">
        <v>12.646249867975712</v>
      </c>
      <c r="N78" s="23">
        <v>16.961250126361801</v>
      </c>
      <c r="O78" s="8">
        <v>17.438750013709001</v>
      </c>
      <c r="P78" s="11">
        <v>16.758750423788999</v>
      </c>
      <c r="Q78" s="48">
        <v>52.544460641399397</v>
      </c>
      <c r="R78" s="8">
        <v>54.106851311953399</v>
      </c>
      <c r="S78" s="20">
        <v>52.9881341107872</v>
      </c>
      <c r="T78" s="69">
        <f t="shared" si="9"/>
        <v>72</v>
      </c>
      <c r="U78" s="23">
        <f t="shared" si="10"/>
        <v>8.840510866681088E-2</v>
      </c>
      <c r="V78" s="8">
        <f t="shared" si="11"/>
        <v>8.9320607810585304E-2</v>
      </c>
      <c r="W78" s="11">
        <f t="shared" si="12"/>
        <v>8.7292238581879664E-2</v>
      </c>
      <c r="X78" s="23" t="e">
        <f t="shared" si="8"/>
        <v>#DIV/0!</v>
      </c>
      <c r="Y78" s="8" t="e">
        <f t="shared" si="8"/>
        <v>#DIV/0!</v>
      </c>
      <c r="Z78" s="11" t="e">
        <f t="shared" si="8"/>
        <v>#DIV/0!</v>
      </c>
    </row>
    <row r="79" spans="1:26" x14ac:dyDescent="0.3">
      <c r="A79" s="69" t="s">
        <v>543</v>
      </c>
      <c r="B79" s="23" t="s">
        <v>163</v>
      </c>
      <c r="C79" s="8" t="s">
        <v>164</v>
      </c>
      <c r="D79" s="11" t="s">
        <v>165</v>
      </c>
      <c r="E79" s="23" t="s">
        <v>120</v>
      </c>
      <c r="F79" s="8">
        <v>5</v>
      </c>
      <c r="G79" s="11" t="s">
        <v>618</v>
      </c>
      <c r="H79" s="23">
        <v>5.7325000874698162</v>
      </c>
      <c r="I79" s="8">
        <v>5.3462499752640724</v>
      </c>
      <c r="J79" s="11">
        <v>5.3137499839067459</v>
      </c>
      <c r="K79" s="23">
        <v>13.7837499827146</v>
      </c>
      <c r="L79" s="8">
        <v>14.4749999716877</v>
      </c>
      <c r="M79" s="11">
        <v>13.287499777972601</v>
      </c>
      <c r="N79" s="23">
        <v>14.644999802112579</v>
      </c>
      <c r="O79" s="8">
        <v>15.207499638199806</v>
      </c>
      <c r="P79" s="11">
        <v>13.883750140666962</v>
      </c>
      <c r="Q79" s="48">
        <v>11.212536443148689</v>
      </c>
      <c r="R79" s="8">
        <v>12.075131195335279</v>
      </c>
      <c r="S79" s="20">
        <v>9.6186005830903802</v>
      </c>
      <c r="T79" s="69">
        <f t="shared" si="9"/>
        <v>72</v>
      </c>
      <c r="U79" s="23">
        <f t="shared" si="10"/>
        <v>1.6947094188823918E-2</v>
      </c>
      <c r="V79" s="8">
        <f t="shared" si="11"/>
        <v>1.7379290758424825E-2</v>
      </c>
      <c r="W79" s="11">
        <f t="shared" si="12"/>
        <v>1.5080904270637081E-2</v>
      </c>
      <c r="X79" s="23" t="e">
        <f t="shared" si="8"/>
        <v>#DIV/0!</v>
      </c>
      <c r="Y79" s="8" t="e">
        <f t="shared" si="8"/>
        <v>#DIV/0!</v>
      </c>
      <c r="Z79" s="11" t="e">
        <f t="shared" si="8"/>
        <v>#DIV/0!</v>
      </c>
    </row>
    <row r="80" spans="1:26" x14ac:dyDescent="0.3">
      <c r="A80" s="69" t="s">
        <v>543</v>
      </c>
      <c r="B80" s="23" t="s">
        <v>167</v>
      </c>
      <c r="C80" s="8" t="s">
        <v>168</v>
      </c>
      <c r="D80" s="11" t="s">
        <v>169</v>
      </c>
      <c r="E80" s="23" t="s">
        <v>120</v>
      </c>
      <c r="F80" s="8">
        <v>5</v>
      </c>
      <c r="G80" s="61" t="s">
        <v>619</v>
      </c>
      <c r="H80" s="23">
        <v>6.5099999308586121</v>
      </c>
      <c r="I80" s="8">
        <v>6.2212499789893627</v>
      </c>
      <c r="J80" s="11">
        <v>6.3274999149143696</v>
      </c>
      <c r="K80" s="23">
        <v>12.301250174641609</v>
      </c>
      <c r="L80" s="8">
        <v>12.353749945759773</v>
      </c>
      <c r="M80" s="11">
        <v>12.311249971389771</v>
      </c>
      <c r="N80" s="23">
        <v>14.818750321865082</v>
      </c>
      <c r="O80" s="8">
        <v>14.942500367760658</v>
      </c>
      <c r="P80" s="11">
        <v>13.993750140070915</v>
      </c>
      <c r="Q80" s="48">
        <v>5.4044023323615171</v>
      </c>
      <c r="R80" s="8">
        <v>5.6765014577259487</v>
      </c>
      <c r="S80" s="20">
        <v>6.4332944606413998</v>
      </c>
      <c r="T80" s="69">
        <f t="shared" si="9"/>
        <v>72</v>
      </c>
      <c r="U80" s="23">
        <f t="shared" si="10"/>
        <v>9.1528676889795803E-3</v>
      </c>
      <c r="V80" s="8">
        <f t="shared" si="11"/>
        <v>9.5728380091219412E-3</v>
      </c>
      <c r="W80" s="11">
        <f t="shared" si="12"/>
        <v>1.088654427791619E-2</v>
      </c>
      <c r="X80" s="23" t="e">
        <f t="shared" si="8"/>
        <v>#DIV/0!</v>
      </c>
      <c r="Y80" s="8" t="e">
        <f t="shared" si="8"/>
        <v>#DIV/0!</v>
      </c>
      <c r="Z80" s="11" t="e">
        <f t="shared" si="8"/>
        <v>#DIV/0!</v>
      </c>
    </row>
    <row r="81" spans="1:26" x14ac:dyDescent="0.3">
      <c r="A81" s="69" t="s">
        <v>543</v>
      </c>
      <c r="B81" s="23" t="s">
        <v>171</v>
      </c>
      <c r="C81" s="8" t="s">
        <v>172</v>
      </c>
      <c r="D81" s="11" t="s">
        <v>173</v>
      </c>
      <c r="E81" s="23" t="s">
        <v>120</v>
      </c>
      <c r="F81" s="8">
        <v>5</v>
      </c>
      <c r="G81" s="11" t="s">
        <v>620</v>
      </c>
      <c r="H81" s="23">
        <v>6.211249902844429</v>
      </c>
      <c r="I81" s="8">
        <v>5.8187500573694706</v>
      </c>
      <c r="J81" s="11">
        <v>5.8887499384582043</v>
      </c>
      <c r="K81" s="23">
        <v>12.816250137984753</v>
      </c>
      <c r="L81" s="8">
        <v>12.105000019073486</v>
      </c>
      <c r="M81" s="11">
        <v>12.504999712109566</v>
      </c>
      <c r="N81" s="23">
        <v>15.64749963581562</v>
      </c>
      <c r="O81" s="8">
        <v>15.531249716877937</v>
      </c>
      <c r="P81" s="11">
        <v>14.988749846816063</v>
      </c>
      <c r="Q81" s="48">
        <v>12.44600583090379</v>
      </c>
      <c r="R81" s="8">
        <v>14.115422740524783</v>
      </c>
      <c r="S81" s="20">
        <v>12.137084548104957</v>
      </c>
      <c r="T81" s="69">
        <f t="shared" si="9"/>
        <v>72</v>
      </c>
      <c r="U81" s="23">
        <f t="shared" si="10"/>
        <v>2.0231486226641362E-2</v>
      </c>
      <c r="V81" s="8">
        <f t="shared" si="11"/>
        <v>2.4293375186361585E-2</v>
      </c>
      <c r="W81" s="11">
        <f t="shared" si="12"/>
        <v>2.0220386557918895E-2</v>
      </c>
      <c r="X81" s="23" t="e">
        <f t="shared" si="8"/>
        <v>#DIV/0!</v>
      </c>
      <c r="Y81" s="8" t="e">
        <f t="shared" si="8"/>
        <v>#DIV/0!</v>
      </c>
      <c r="Z81" s="11" t="e">
        <f t="shared" si="8"/>
        <v>#DIV/0!</v>
      </c>
    </row>
    <row r="82" spans="1:26" x14ac:dyDescent="0.3">
      <c r="A82" s="69" t="s">
        <v>543</v>
      </c>
      <c r="B82" s="23" t="s">
        <v>175</v>
      </c>
      <c r="C82" s="8" t="s">
        <v>176</v>
      </c>
      <c r="D82" s="11" t="s">
        <v>177</v>
      </c>
      <c r="E82" s="23" t="s">
        <v>30</v>
      </c>
      <c r="F82" s="8">
        <v>5</v>
      </c>
      <c r="G82" s="61" t="s">
        <v>621</v>
      </c>
      <c r="H82" s="23">
        <v>2.914374927058816</v>
      </c>
      <c r="I82" s="8">
        <v>2.8112499974668026</v>
      </c>
      <c r="J82" s="11">
        <v>2.7224999852478504</v>
      </c>
      <c r="K82" s="23">
        <v>7.655000127851963</v>
      </c>
      <c r="L82" s="8">
        <v>7.4599999934434891</v>
      </c>
      <c r="M82" s="11">
        <v>7.3075000196695328</v>
      </c>
      <c r="N82" s="23">
        <v>11.456249840557575</v>
      </c>
      <c r="O82" s="8">
        <v>10.906249843537807</v>
      </c>
      <c r="P82" s="11">
        <v>10.872500017285347</v>
      </c>
      <c r="Q82" s="23">
        <v>33.789580093312594</v>
      </c>
      <c r="R82" s="8">
        <v>20.73589424572317</v>
      </c>
      <c r="S82" s="11">
        <v>21.80988439306358</v>
      </c>
      <c r="T82" s="69">
        <f t="shared" si="9"/>
        <v>72</v>
      </c>
      <c r="U82" s="23">
        <f t="shared" si="10"/>
        <v>9.1959447879836675E-2</v>
      </c>
      <c r="V82" s="8">
        <f t="shared" si="11"/>
        <v>5.7908551898870973E-2</v>
      </c>
      <c r="W82" s="11">
        <f t="shared" si="12"/>
        <v>6.2178938118252099E-2</v>
      </c>
      <c r="X82" s="23" t="e">
        <f>U82/AVERAGE($U$353:$W$353)</f>
        <v>#DIV/0!</v>
      </c>
      <c r="Y82" s="8" t="e">
        <f>V82/AVERAGE($U$353:$W$353)</f>
        <v>#DIV/0!</v>
      </c>
      <c r="Z82" s="11" t="e">
        <f>W82/AVERAGE($U$353:$W$353)</f>
        <v>#DIV/0!</v>
      </c>
    </row>
    <row r="83" spans="1:26" x14ac:dyDescent="0.3">
      <c r="A83" s="69" t="s">
        <v>543</v>
      </c>
      <c r="B83" s="23" t="s">
        <v>179</v>
      </c>
      <c r="C83" s="8" t="s">
        <v>180</v>
      </c>
      <c r="D83" s="11" t="s">
        <v>181</v>
      </c>
      <c r="E83" s="23" t="s">
        <v>30</v>
      </c>
      <c r="F83" s="8">
        <v>5</v>
      </c>
      <c r="G83" s="11" t="s">
        <v>622</v>
      </c>
      <c r="H83" s="23">
        <v>4.869375005364418</v>
      </c>
      <c r="I83" s="8">
        <v>4.986250028014183</v>
      </c>
      <c r="J83" s="11">
        <v>4.9137501046061516</v>
      </c>
      <c r="K83" s="23">
        <v>11.528749763965607</v>
      </c>
      <c r="L83" s="8">
        <v>10.923750139772892</v>
      </c>
      <c r="M83" s="11">
        <v>11.171249859035015</v>
      </c>
      <c r="N83" s="23">
        <v>14.886249974370003</v>
      </c>
      <c r="O83" s="8">
        <v>14.933750033378601</v>
      </c>
      <c r="P83" s="11">
        <v>14.943750202655792</v>
      </c>
      <c r="Q83" s="23">
        <v>18.853094867807155</v>
      </c>
      <c r="R83" s="8">
        <v>15.439595645412131</v>
      </c>
      <c r="S83" s="11">
        <v>19.306329479768785</v>
      </c>
      <c r="T83" s="69">
        <f t="shared" si="9"/>
        <v>72</v>
      </c>
      <c r="U83" s="23">
        <f t="shared" si="10"/>
        <v>3.4068985604461428E-2</v>
      </c>
      <c r="V83" s="8">
        <f t="shared" si="11"/>
        <v>2.9445770774416496E-2</v>
      </c>
      <c r="W83" s="11">
        <f t="shared" si="12"/>
        <v>3.6004493908072595E-2</v>
      </c>
      <c r="X83" s="23" t="e">
        <f t="shared" ref="X83:Z108" si="13">U83/AVERAGE($U$353:$W$353)</f>
        <v>#DIV/0!</v>
      </c>
      <c r="Y83" s="8" t="e">
        <f t="shared" si="13"/>
        <v>#DIV/0!</v>
      </c>
      <c r="Z83" s="11" t="e">
        <f t="shared" si="13"/>
        <v>#DIV/0!</v>
      </c>
    </row>
    <row r="84" spans="1:26" x14ac:dyDescent="0.3">
      <c r="A84" s="69" t="s">
        <v>543</v>
      </c>
      <c r="B84" s="23" t="s">
        <v>183</v>
      </c>
      <c r="C84" s="8" t="s">
        <v>184</v>
      </c>
      <c r="D84" s="11" t="s">
        <v>185</v>
      </c>
      <c r="E84" s="23" t="s">
        <v>30</v>
      </c>
      <c r="F84" s="8">
        <v>5</v>
      </c>
      <c r="G84" s="61" t="s">
        <v>623</v>
      </c>
      <c r="H84" s="23">
        <v>4.9525000154972076</v>
      </c>
      <c r="I84" s="8">
        <v>4.9587500281631947</v>
      </c>
      <c r="J84" s="11">
        <v>4.8849999904632568</v>
      </c>
      <c r="K84" s="23">
        <v>9.5712499693036079</v>
      </c>
      <c r="L84" s="8">
        <v>11.13124992698431</v>
      </c>
      <c r="M84" s="11">
        <v>11.791250109672546</v>
      </c>
      <c r="N84" s="23">
        <v>12.715000100433826</v>
      </c>
      <c r="O84" s="8">
        <v>14.659999683499336</v>
      </c>
      <c r="P84" s="11">
        <v>15.224999934434891</v>
      </c>
      <c r="Q84" s="23">
        <v>44.08407465007776</v>
      </c>
      <c r="R84" s="8">
        <v>54.454961119751161</v>
      </c>
      <c r="S84" s="11">
        <v>58.490289017341041</v>
      </c>
      <c r="T84" s="69">
        <f t="shared" si="9"/>
        <v>72</v>
      </c>
      <c r="U84" s="23">
        <f t="shared" si="10"/>
        <v>9.5955933114496114E-2</v>
      </c>
      <c r="V84" s="8">
        <f t="shared" si="11"/>
        <v>0.10191832580376142</v>
      </c>
      <c r="W84" s="11">
        <f t="shared" si="12"/>
        <v>0.10334338399468586</v>
      </c>
      <c r="X84" s="23" t="e">
        <f t="shared" si="13"/>
        <v>#DIV/0!</v>
      </c>
      <c r="Y84" s="8" t="e">
        <f t="shared" si="13"/>
        <v>#DIV/0!</v>
      </c>
      <c r="Z84" s="11" t="e">
        <f t="shared" si="13"/>
        <v>#DIV/0!</v>
      </c>
    </row>
    <row r="85" spans="1:26" x14ac:dyDescent="0.3">
      <c r="A85" s="69" t="s">
        <v>543</v>
      </c>
      <c r="B85" s="23" t="s">
        <v>187</v>
      </c>
      <c r="C85" s="8" t="s">
        <v>188</v>
      </c>
      <c r="D85" s="11" t="s">
        <v>189</v>
      </c>
      <c r="E85" s="23" t="s">
        <v>30</v>
      </c>
      <c r="F85" s="8">
        <v>5</v>
      </c>
      <c r="G85" s="11" t="s">
        <v>624</v>
      </c>
      <c r="H85" s="23">
        <v>4.869531188160181</v>
      </c>
      <c r="I85" s="8">
        <v>4.92125004529953</v>
      </c>
      <c r="J85" s="11">
        <v>5.1212499849498272</v>
      </c>
      <c r="K85" s="23">
        <v>10.363750159740448</v>
      </c>
      <c r="L85" s="8">
        <v>11.632500216364861</v>
      </c>
      <c r="M85" s="11">
        <v>12.013750150799751</v>
      </c>
      <c r="N85" s="23">
        <v>13.645000010728836</v>
      </c>
      <c r="O85" s="8">
        <v>15.112499892711639</v>
      </c>
      <c r="P85" s="11">
        <v>15.712499991059303</v>
      </c>
      <c r="Q85" s="23">
        <v>29.090015552099501</v>
      </c>
      <c r="R85" s="8">
        <v>30.416454121306401</v>
      </c>
      <c r="S85" s="11">
        <v>33.278872832369899</v>
      </c>
      <c r="T85" s="69">
        <f t="shared" si="9"/>
        <v>72</v>
      </c>
      <c r="U85" s="23">
        <f t="shared" si="10"/>
        <v>5.8477093844176327E-2</v>
      </c>
      <c r="V85" s="8">
        <f t="shared" si="11"/>
        <v>5.4474628475462826E-2</v>
      </c>
      <c r="W85" s="11">
        <f t="shared" si="12"/>
        <v>5.7709694472730444E-2</v>
      </c>
      <c r="X85" s="23" t="e">
        <f t="shared" si="13"/>
        <v>#DIV/0!</v>
      </c>
      <c r="Y85" s="8" t="e">
        <f t="shared" si="13"/>
        <v>#DIV/0!</v>
      </c>
      <c r="Z85" s="11" t="e">
        <f t="shared" si="13"/>
        <v>#DIV/0!</v>
      </c>
    </row>
    <row r="86" spans="1:26" x14ac:dyDescent="0.3">
      <c r="A86" s="69" t="s">
        <v>543</v>
      </c>
      <c r="B86" s="23" t="s">
        <v>191</v>
      </c>
      <c r="C86" s="8" t="s">
        <v>192</v>
      </c>
      <c r="D86" s="11" t="s">
        <v>193</v>
      </c>
      <c r="E86" s="23" t="s">
        <v>30</v>
      </c>
      <c r="F86" s="8">
        <v>5</v>
      </c>
      <c r="G86" s="61" t="s">
        <v>625</v>
      </c>
      <c r="H86" s="23">
        <v>4.1921875439584255</v>
      </c>
      <c r="I86" s="8">
        <v>4.5012499205768108</v>
      </c>
      <c r="J86" s="11">
        <v>4.5324998907744884</v>
      </c>
      <c r="K86" s="23">
        <v>10.801250115036964</v>
      </c>
      <c r="L86" s="8">
        <v>10.153749957680702</v>
      </c>
      <c r="M86" s="11">
        <v>10.933749936521053</v>
      </c>
      <c r="N86" s="23">
        <v>14.256250113248825</v>
      </c>
      <c r="O86" s="8">
        <v>14.014999568462372</v>
      </c>
      <c r="P86" s="11">
        <v>14.375000074505806</v>
      </c>
      <c r="Q86" s="23">
        <v>8.8106687402799366</v>
      </c>
      <c r="R86" s="8">
        <v>10.822986003110421</v>
      </c>
      <c r="S86" s="11">
        <v>14.158815028901735</v>
      </c>
      <c r="T86" s="69">
        <f t="shared" si="9"/>
        <v>72</v>
      </c>
      <c r="U86" s="23">
        <f t="shared" si="10"/>
        <v>1.6993921703590126E-2</v>
      </c>
      <c r="V86" s="8">
        <f t="shared" si="11"/>
        <v>2.2206463228320802E-2</v>
      </c>
      <c r="W86" s="11">
        <f t="shared" si="12"/>
        <v>2.6978421384674173E-2</v>
      </c>
      <c r="X86" s="23" t="e">
        <f t="shared" si="13"/>
        <v>#DIV/0!</v>
      </c>
      <c r="Y86" s="8" t="e">
        <f t="shared" si="13"/>
        <v>#DIV/0!</v>
      </c>
      <c r="Z86" s="11" t="e">
        <f t="shared" si="13"/>
        <v>#DIV/0!</v>
      </c>
    </row>
    <row r="87" spans="1:26" x14ac:dyDescent="0.3">
      <c r="A87" s="69" t="s">
        <v>543</v>
      </c>
      <c r="B87" s="23" t="s">
        <v>195</v>
      </c>
      <c r="C87" s="8" t="s">
        <v>196</v>
      </c>
      <c r="D87" s="11" t="s">
        <v>195</v>
      </c>
      <c r="E87" s="23" t="s">
        <v>30</v>
      </c>
      <c r="F87" s="8">
        <v>5</v>
      </c>
      <c r="G87" s="11" t="s">
        <v>626</v>
      </c>
      <c r="H87" s="23">
        <v>4.4332812540233135</v>
      </c>
      <c r="I87" s="8">
        <v>3.4262499772012234</v>
      </c>
      <c r="J87" s="11">
        <v>3.2362500205636024</v>
      </c>
      <c r="K87" s="23">
        <v>7.7674999833106995</v>
      </c>
      <c r="L87" s="8">
        <v>7.5349999591708183</v>
      </c>
      <c r="M87" s="11">
        <v>7.9874999821186066</v>
      </c>
      <c r="N87" s="23">
        <v>11.313749849796295</v>
      </c>
      <c r="O87" s="8">
        <v>11.122499965131283</v>
      </c>
      <c r="P87" s="11">
        <v>10.927499830722809</v>
      </c>
      <c r="Q87" s="23">
        <v>5.3616174183514778</v>
      </c>
      <c r="R87" s="8">
        <v>6.503328149300156</v>
      </c>
      <c r="S87" s="11">
        <v>5.3194219653178996</v>
      </c>
      <c r="T87" s="69">
        <f t="shared" si="9"/>
        <v>72</v>
      </c>
      <c r="U87" s="23">
        <f t="shared" si="10"/>
        <v>1.4380478033128107E-2</v>
      </c>
      <c r="V87" s="8">
        <f t="shared" si="11"/>
        <v>1.7980889694036488E-2</v>
      </c>
      <c r="W87" s="11">
        <f t="shared" si="12"/>
        <v>1.3874340055363435E-2</v>
      </c>
      <c r="X87" s="23" t="e">
        <f t="shared" si="13"/>
        <v>#DIV/0!</v>
      </c>
      <c r="Y87" s="8" t="e">
        <f t="shared" si="13"/>
        <v>#DIV/0!</v>
      </c>
      <c r="Z87" s="11" t="e">
        <f t="shared" si="13"/>
        <v>#DIV/0!</v>
      </c>
    </row>
    <row r="88" spans="1:26" x14ac:dyDescent="0.3">
      <c r="A88" s="69" t="s">
        <v>543</v>
      </c>
      <c r="B88" s="23" t="s">
        <v>198</v>
      </c>
      <c r="C88" s="8" t="s">
        <v>199</v>
      </c>
      <c r="D88" s="11" t="s">
        <v>200</v>
      </c>
      <c r="E88" s="23" t="s">
        <v>30</v>
      </c>
      <c r="F88" s="8">
        <v>5</v>
      </c>
      <c r="G88" s="61" t="s">
        <v>627</v>
      </c>
      <c r="H88" s="23">
        <v>4.7339062206447124</v>
      </c>
      <c r="I88" s="8">
        <v>4.8262500204145908</v>
      </c>
      <c r="J88" s="11">
        <v>4.8849999904632568</v>
      </c>
      <c r="K88" s="23">
        <v>11.312500014901161</v>
      </c>
      <c r="L88" s="8">
        <v>10.680000111460686</v>
      </c>
      <c r="M88" s="11">
        <v>11.119999922811985</v>
      </c>
      <c r="N88" s="23">
        <v>14.876250177621841</v>
      </c>
      <c r="O88" s="8">
        <v>13.985000178217888</v>
      </c>
      <c r="P88" s="11">
        <v>14.528749883174896</v>
      </c>
      <c r="Q88" s="23">
        <v>41.4519440124417</v>
      </c>
      <c r="R88" s="8">
        <v>39.660062208398138</v>
      </c>
      <c r="S88" s="11">
        <v>40.604653179190748</v>
      </c>
      <c r="T88" s="69">
        <f t="shared" si="9"/>
        <v>72</v>
      </c>
      <c r="U88" s="23">
        <f t="shared" si="10"/>
        <v>7.6338754986813931E-2</v>
      </c>
      <c r="V88" s="8">
        <f t="shared" si="11"/>
        <v>7.7364352751424226E-2</v>
      </c>
      <c r="W88" s="11">
        <f t="shared" si="12"/>
        <v>7.6072866945898154E-2</v>
      </c>
      <c r="X88" s="23" t="e">
        <f t="shared" si="13"/>
        <v>#DIV/0!</v>
      </c>
      <c r="Y88" s="8" t="e">
        <f t="shared" si="13"/>
        <v>#DIV/0!</v>
      </c>
      <c r="Z88" s="11" t="e">
        <f t="shared" si="13"/>
        <v>#DIV/0!</v>
      </c>
    </row>
    <row r="89" spans="1:26" x14ac:dyDescent="0.3">
      <c r="A89" s="69" t="s">
        <v>543</v>
      </c>
      <c r="B89" s="23" t="s">
        <v>202</v>
      </c>
      <c r="C89" s="8" t="s">
        <v>203</v>
      </c>
      <c r="D89" s="11" t="s">
        <v>204</v>
      </c>
      <c r="E89" s="23" t="s">
        <v>30</v>
      </c>
      <c r="F89" s="8">
        <v>5</v>
      </c>
      <c r="G89" s="11" t="s">
        <v>628</v>
      </c>
      <c r="H89" s="23">
        <v>4.7831250354647636</v>
      </c>
      <c r="I89" s="8">
        <v>4.5712499879300594</v>
      </c>
      <c r="J89" s="11">
        <v>4.6299999579787254</v>
      </c>
      <c r="K89" s="23">
        <v>10.816249996423721</v>
      </c>
      <c r="L89" s="8">
        <v>11.203749850392342</v>
      </c>
      <c r="M89" s="11">
        <v>10.84624994546175</v>
      </c>
      <c r="N89" s="23">
        <v>15.092499926686287</v>
      </c>
      <c r="O89" s="8">
        <v>13.996249809861183</v>
      </c>
      <c r="P89" s="11">
        <v>14.534999802708626</v>
      </c>
      <c r="Q89" s="23">
        <v>41.011228615863097</v>
      </c>
      <c r="R89" s="8">
        <v>35.505816485225509</v>
      </c>
      <c r="S89" s="11">
        <v>40.098323699421961</v>
      </c>
      <c r="T89" s="69">
        <f t="shared" si="9"/>
        <v>72</v>
      </c>
      <c r="U89" s="23">
        <f t="shared" si="10"/>
        <v>7.8992312164226322E-2</v>
      </c>
      <c r="V89" s="8">
        <f t="shared" si="11"/>
        <v>6.6022940532089916E-2</v>
      </c>
      <c r="W89" s="11">
        <f t="shared" si="12"/>
        <v>7.7020329416942396E-2</v>
      </c>
      <c r="X89" s="23" t="e">
        <f t="shared" si="13"/>
        <v>#DIV/0!</v>
      </c>
      <c r="Y89" s="8" t="e">
        <f t="shared" si="13"/>
        <v>#DIV/0!</v>
      </c>
      <c r="Z89" s="11" t="e">
        <f t="shared" si="13"/>
        <v>#DIV/0!</v>
      </c>
    </row>
    <row r="90" spans="1:26" x14ac:dyDescent="0.3">
      <c r="A90" s="69" t="s">
        <v>543</v>
      </c>
      <c r="B90" s="23" t="s">
        <v>206</v>
      </c>
      <c r="C90" s="8" t="s">
        <v>207</v>
      </c>
      <c r="D90" s="11" t="s">
        <v>208</v>
      </c>
      <c r="E90" s="23" t="s">
        <v>30</v>
      </c>
      <c r="F90" s="8">
        <v>5</v>
      </c>
      <c r="G90" s="61" t="s">
        <v>629</v>
      </c>
      <c r="H90" s="23">
        <v>4.5489062555134296</v>
      </c>
      <c r="I90" s="8">
        <v>5.1324999891221523</v>
      </c>
      <c r="J90" s="11">
        <v>5.038749985396862</v>
      </c>
      <c r="K90" s="23">
        <v>11.024999991059303</v>
      </c>
      <c r="L90" s="8">
        <v>10.838750191032887</v>
      </c>
      <c r="M90" s="11">
        <v>11.515000090003014</v>
      </c>
      <c r="N90" s="23">
        <v>15.105000138282776</v>
      </c>
      <c r="O90" s="8">
        <v>14.497500285506248</v>
      </c>
      <c r="P90" s="11">
        <v>15.322499722242355</v>
      </c>
      <c r="Q90" s="23">
        <v>27.3657231726283</v>
      </c>
      <c r="R90" s="8">
        <v>27.804199066873998</v>
      </c>
      <c r="S90" s="11">
        <v>25.754248554913293</v>
      </c>
      <c r="T90" s="69">
        <f t="shared" si="9"/>
        <v>72</v>
      </c>
      <c r="U90" s="23">
        <f t="shared" si="10"/>
        <v>5.1711495077136183E-2</v>
      </c>
      <c r="V90" s="8">
        <f t="shared" si="11"/>
        <v>5.3442891202139714E-2</v>
      </c>
      <c r="W90" s="11">
        <f t="shared" si="12"/>
        <v>4.6595470317003403E-2</v>
      </c>
      <c r="X90" s="23" t="e">
        <f t="shared" si="13"/>
        <v>#DIV/0!</v>
      </c>
      <c r="Y90" s="8" t="e">
        <f t="shared" si="13"/>
        <v>#DIV/0!</v>
      </c>
      <c r="Z90" s="11" t="e">
        <f t="shared" si="13"/>
        <v>#DIV/0!</v>
      </c>
    </row>
    <row r="91" spans="1:26" x14ac:dyDescent="0.3">
      <c r="A91" s="69" t="s">
        <v>543</v>
      </c>
      <c r="B91" s="23" t="s">
        <v>210</v>
      </c>
      <c r="C91" s="8" t="s">
        <v>211</v>
      </c>
      <c r="D91" s="11" t="s">
        <v>211</v>
      </c>
      <c r="E91" s="23" t="s">
        <v>30</v>
      </c>
      <c r="F91" s="8">
        <v>5</v>
      </c>
      <c r="G91" s="11" t="s">
        <v>630</v>
      </c>
      <c r="H91" s="23">
        <v>4.7562500461935997</v>
      </c>
      <c r="I91" s="8">
        <v>4.4637500308454037</v>
      </c>
      <c r="J91" s="11">
        <v>4.205000028014183</v>
      </c>
      <c r="K91" s="23">
        <v>9.9062500521540642</v>
      </c>
      <c r="L91" s="8">
        <v>9.8587499931454659</v>
      </c>
      <c r="M91" s="11">
        <v>9.8137499764561653</v>
      </c>
      <c r="N91" s="23">
        <v>12.253750301897526</v>
      </c>
      <c r="O91" s="8">
        <v>12.639999948441982</v>
      </c>
      <c r="P91" s="11">
        <v>12.416250072419643</v>
      </c>
      <c r="Q91" s="23">
        <v>46.800715396578539</v>
      </c>
      <c r="R91" s="8">
        <v>52.002550544323483</v>
      </c>
      <c r="S91" s="11">
        <v>51.939913294797684</v>
      </c>
      <c r="T91" s="69">
        <f t="shared" si="9"/>
        <v>72</v>
      </c>
      <c r="U91" s="23">
        <f t="shared" si="10"/>
        <v>9.8424216929934472E-2</v>
      </c>
      <c r="V91" s="8">
        <f t="shared" si="11"/>
        <v>0.10989085537483519</v>
      </c>
      <c r="W91" s="11">
        <f t="shared" si="12"/>
        <v>0.11026177858320589</v>
      </c>
      <c r="X91" s="23" t="e">
        <f t="shared" si="13"/>
        <v>#DIV/0!</v>
      </c>
      <c r="Y91" s="8" t="e">
        <f t="shared" si="13"/>
        <v>#DIV/0!</v>
      </c>
      <c r="Z91" s="11" t="e">
        <f t="shared" si="13"/>
        <v>#DIV/0!</v>
      </c>
    </row>
    <row r="92" spans="1:26" x14ac:dyDescent="0.3">
      <c r="A92" s="69" t="s">
        <v>543</v>
      </c>
      <c r="B92" s="23" t="s">
        <v>213</v>
      </c>
      <c r="C92" s="8" t="s">
        <v>214</v>
      </c>
      <c r="D92" s="11" t="s">
        <v>215</v>
      </c>
      <c r="E92" s="23" t="s">
        <v>30</v>
      </c>
      <c r="F92" s="8">
        <v>5</v>
      </c>
      <c r="G92" s="61" t="s">
        <v>631</v>
      </c>
      <c r="H92" s="23">
        <v>4.2079687118530273</v>
      </c>
      <c r="I92" s="8">
        <v>3.6087499931454659</v>
      </c>
      <c r="J92" s="11">
        <v>3.4387500025331974</v>
      </c>
      <c r="K92" s="23">
        <v>7.5162500143051147</v>
      </c>
      <c r="L92" s="8">
        <v>7.2187500074505806</v>
      </c>
      <c r="M92" s="11">
        <v>7.6625000685453415</v>
      </c>
      <c r="N92" s="23">
        <v>10.637499950826168</v>
      </c>
      <c r="O92" s="8">
        <v>10.31625010073185</v>
      </c>
      <c r="P92" s="11">
        <v>10.768749937415123</v>
      </c>
      <c r="Q92" s="23">
        <v>7.5683048211508561</v>
      </c>
      <c r="R92" s="8">
        <v>9.30149300155521</v>
      </c>
      <c r="S92" s="11">
        <v>14.085404624277455</v>
      </c>
      <c r="T92" s="69">
        <f t="shared" si="9"/>
        <v>72</v>
      </c>
      <c r="U92" s="23">
        <f t="shared" si="10"/>
        <v>2.0977617403255915E-2</v>
      </c>
      <c r="V92" s="8">
        <f t="shared" si="11"/>
        <v>2.6844135618917745E-2</v>
      </c>
      <c r="W92" s="11">
        <f t="shared" si="12"/>
        <v>3.8296368945828295E-2</v>
      </c>
      <c r="X92" s="23" t="e">
        <f t="shared" si="13"/>
        <v>#DIV/0!</v>
      </c>
      <c r="Y92" s="8" t="e">
        <f t="shared" si="13"/>
        <v>#DIV/0!</v>
      </c>
      <c r="Z92" s="11" t="e">
        <f t="shared" si="13"/>
        <v>#DIV/0!</v>
      </c>
    </row>
    <row r="93" spans="1:26" x14ac:dyDescent="0.3">
      <c r="A93" s="69" t="s">
        <v>543</v>
      </c>
      <c r="B93" s="23" t="s">
        <v>217</v>
      </c>
      <c r="C93" s="8" t="s">
        <v>218</v>
      </c>
      <c r="D93" s="11" t="s">
        <v>219</v>
      </c>
      <c r="E93" s="23" t="s">
        <v>30</v>
      </c>
      <c r="F93" s="8">
        <v>5</v>
      </c>
      <c r="G93" s="11" t="s">
        <v>632</v>
      </c>
      <c r="H93" s="23">
        <v>4.7253124415874481</v>
      </c>
      <c r="I93" s="8">
        <v>4.5862500555813313</v>
      </c>
      <c r="J93" s="11">
        <v>4.59624994546175</v>
      </c>
      <c r="K93" s="23">
        <v>10.930000059306622</v>
      </c>
      <c r="L93" s="8">
        <v>10.320000164210796</v>
      </c>
      <c r="M93" s="11">
        <v>10.738749802112579</v>
      </c>
      <c r="N93" s="23">
        <v>14.291249960660934</v>
      </c>
      <c r="O93" s="8">
        <v>12.923750281333923</v>
      </c>
      <c r="P93" s="11">
        <v>14.454999938607216</v>
      </c>
      <c r="Q93" s="23">
        <v>61.083608087091761</v>
      </c>
      <c r="R93" s="8">
        <v>59.506314152410582</v>
      </c>
      <c r="S93" s="11">
        <v>61.589739884393062</v>
      </c>
      <c r="T93" s="69">
        <f t="shared" si="9"/>
        <v>72</v>
      </c>
      <c r="U93" s="23">
        <f t="shared" si="10"/>
        <v>0.11642956647539195</v>
      </c>
      <c r="V93" s="8">
        <f t="shared" si="11"/>
        <v>0.12012740876443828</v>
      </c>
      <c r="W93" s="11">
        <f t="shared" si="12"/>
        <v>0.11948500566354885</v>
      </c>
      <c r="X93" s="23" t="e">
        <f t="shared" si="13"/>
        <v>#DIV/0!</v>
      </c>
      <c r="Y93" s="8" t="e">
        <f t="shared" si="13"/>
        <v>#DIV/0!</v>
      </c>
      <c r="Z93" s="11" t="e">
        <f t="shared" si="13"/>
        <v>#DIV/0!</v>
      </c>
    </row>
    <row r="94" spans="1:26" x14ac:dyDescent="0.3">
      <c r="A94" s="69" t="s">
        <v>543</v>
      </c>
      <c r="B94" s="23" t="s">
        <v>221</v>
      </c>
      <c r="C94" s="8" t="s">
        <v>222</v>
      </c>
      <c r="D94" s="11" t="s">
        <v>223</v>
      </c>
      <c r="E94" s="23" t="s">
        <v>30</v>
      </c>
      <c r="F94" s="8">
        <v>5</v>
      </c>
      <c r="G94" s="61" t="s">
        <v>633</v>
      </c>
      <c r="H94" s="23">
        <v>4.7890624962747097</v>
      </c>
      <c r="I94" s="8">
        <v>5.0099999643862247</v>
      </c>
      <c r="J94" s="11">
        <v>4.7612500376999378</v>
      </c>
      <c r="K94" s="23">
        <v>11.043750122189522</v>
      </c>
      <c r="L94" s="8">
        <v>10.405000112950802</v>
      </c>
      <c r="M94" s="11">
        <v>11.144999973475933</v>
      </c>
      <c r="N94" s="23">
        <v>15.880000218749046</v>
      </c>
      <c r="O94" s="8">
        <v>14.617500081658363</v>
      </c>
      <c r="P94" s="11">
        <v>15.13499990105629</v>
      </c>
      <c r="Q94" s="23">
        <v>15.631477449455678</v>
      </c>
      <c r="R94" s="8">
        <v>12.132877138413685</v>
      </c>
      <c r="S94" s="11">
        <v>7.1533815028901726</v>
      </c>
      <c r="T94" s="69">
        <f t="shared" si="9"/>
        <v>72</v>
      </c>
      <c r="U94" s="23">
        <f t="shared" si="10"/>
        <v>2.9487789618009675E-2</v>
      </c>
      <c r="V94" s="8">
        <f t="shared" si="11"/>
        <v>2.4292962130998769E-2</v>
      </c>
      <c r="W94" s="11">
        <f t="shared" si="12"/>
        <v>1.3371806340501266E-2</v>
      </c>
      <c r="X94" s="23" t="e">
        <f t="shared" si="13"/>
        <v>#DIV/0!</v>
      </c>
      <c r="Y94" s="8" t="e">
        <f t="shared" si="13"/>
        <v>#DIV/0!</v>
      </c>
      <c r="Z94" s="11" t="e">
        <f t="shared" si="13"/>
        <v>#DIV/0!</v>
      </c>
    </row>
    <row r="95" spans="1:26" x14ac:dyDescent="0.3">
      <c r="A95" s="69" t="s">
        <v>543</v>
      </c>
      <c r="B95" s="23" t="s">
        <v>225</v>
      </c>
      <c r="C95" s="8" t="s">
        <v>226</v>
      </c>
      <c r="D95" s="11" t="s">
        <v>227</v>
      </c>
      <c r="E95" s="23" t="s">
        <v>30</v>
      </c>
      <c r="F95" s="8">
        <v>5</v>
      </c>
      <c r="G95" s="11" t="s">
        <v>634</v>
      </c>
      <c r="H95" s="23">
        <v>4.4087499380111694</v>
      </c>
      <c r="I95" s="8">
        <v>4.022500105202198</v>
      </c>
      <c r="J95" s="11">
        <v>4.0224999189376831</v>
      </c>
      <c r="K95" s="23">
        <v>9.4912499189376831</v>
      </c>
      <c r="L95" s="8">
        <v>9.8362497985363007</v>
      </c>
      <c r="M95" s="11">
        <v>9.5887498930096626</v>
      </c>
      <c r="N95" s="23">
        <v>13.124999962747097</v>
      </c>
      <c r="O95" s="8">
        <v>12.586250156164169</v>
      </c>
      <c r="P95" s="11">
        <v>13.131250068545341</v>
      </c>
      <c r="Q95" s="23">
        <v>18.429175738724727</v>
      </c>
      <c r="R95" s="8">
        <v>20.248584758942457</v>
      </c>
      <c r="S95" s="11">
        <v>29.142745664739884</v>
      </c>
      <c r="T95" s="69">
        <f t="shared" si="9"/>
        <v>72</v>
      </c>
      <c r="U95" s="23">
        <f t="shared" si="10"/>
        <v>4.0452117951015325E-2</v>
      </c>
      <c r="V95" s="8">
        <f t="shared" si="11"/>
        <v>4.2886824191276089E-2</v>
      </c>
      <c r="W95" s="11">
        <f t="shared" si="12"/>
        <v>6.3318007191395728E-2</v>
      </c>
      <c r="X95" s="23" t="e">
        <f t="shared" si="13"/>
        <v>#DIV/0!</v>
      </c>
      <c r="Y95" s="8" t="e">
        <f t="shared" si="13"/>
        <v>#DIV/0!</v>
      </c>
      <c r="Z95" s="11" t="e">
        <f t="shared" si="13"/>
        <v>#DIV/0!</v>
      </c>
    </row>
    <row r="96" spans="1:26" x14ac:dyDescent="0.3">
      <c r="A96" s="69" t="s">
        <v>543</v>
      </c>
      <c r="B96" s="23" t="s">
        <v>229</v>
      </c>
      <c r="C96" s="8" t="s">
        <v>230</v>
      </c>
      <c r="D96" s="11" t="s">
        <v>231</v>
      </c>
      <c r="E96" s="23" t="s">
        <v>30</v>
      </c>
      <c r="F96" s="8">
        <v>5</v>
      </c>
      <c r="G96" s="61" t="s">
        <v>635</v>
      </c>
      <c r="H96" s="23">
        <v>4.6498437412083149</v>
      </c>
      <c r="I96" s="8">
        <v>5.7562500238418579</v>
      </c>
      <c r="J96" s="11">
        <v>5.4137500002980232</v>
      </c>
      <c r="K96" s="23">
        <v>11.730000004172325</v>
      </c>
      <c r="L96" s="8">
        <v>11.283750087022781</v>
      </c>
      <c r="M96" s="11">
        <v>11.69624999165535</v>
      </c>
      <c r="N96" s="23">
        <v>15.140000358223915</v>
      </c>
      <c r="O96" s="8">
        <v>14.344999939203262</v>
      </c>
      <c r="P96" s="11">
        <v>14.99750018119812</v>
      </c>
      <c r="Q96" s="23">
        <v>8.9670606531881809</v>
      </c>
      <c r="R96" s="8">
        <v>6.2157698289269048</v>
      </c>
      <c r="S96" s="11">
        <v>7.1533815028901726</v>
      </c>
      <c r="T96" s="69">
        <f t="shared" si="9"/>
        <v>72</v>
      </c>
      <c r="U96" s="23">
        <f t="shared" si="10"/>
        <v>1.5926152049585508E-2</v>
      </c>
      <c r="V96" s="8">
        <f t="shared" si="11"/>
        <v>1.1476256011575479E-2</v>
      </c>
      <c r="W96" s="11">
        <f t="shared" si="12"/>
        <v>1.2741586527009597E-2</v>
      </c>
      <c r="X96" s="23" t="e">
        <f t="shared" si="13"/>
        <v>#DIV/0!</v>
      </c>
      <c r="Y96" s="8" t="e">
        <f t="shared" si="13"/>
        <v>#DIV/0!</v>
      </c>
      <c r="Z96" s="11" t="e">
        <f t="shared" si="13"/>
        <v>#DIV/0!</v>
      </c>
    </row>
    <row r="97" spans="1:26" x14ac:dyDescent="0.3">
      <c r="A97" s="69" t="s">
        <v>543</v>
      </c>
      <c r="B97" s="23" t="s">
        <v>233</v>
      </c>
      <c r="C97" s="8" t="s">
        <v>234</v>
      </c>
      <c r="D97" s="11" t="s">
        <v>233</v>
      </c>
      <c r="E97" s="23" t="s">
        <v>30</v>
      </c>
      <c r="F97" s="8">
        <v>5</v>
      </c>
      <c r="G97" s="11" t="s">
        <v>636</v>
      </c>
      <c r="H97" s="23">
        <v>4.4901562854647636</v>
      </c>
      <c r="I97" s="8">
        <v>4.0387501008808613</v>
      </c>
      <c r="J97" s="11">
        <v>3.8000000640749931</v>
      </c>
      <c r="K97" s="23">
        <v>8.7287498638033867</v>
      </c>
      <c r="L97" s="8">
        <v>8.5212500765919685</v>
      </c>
      <c r="M97" s="11">
        <v>8.91875009983778</v>
      </c>
      <c r="N97" s="23">
        <v>11.779999732971191</v>
      </c>
      <c r="O97" s="8">
        <v>12.002499960362911</v>
      </c>
      <c r="P97" s="11">
        <v>12.800000049173832</v>
      </c>
      <c r="Q97" s="23">
        <v>6.208398133748056</v>
      </c>
      <c r="R97" s="8">
        <v>6.6283048211508557</v>
      </c>
      <c r="S97" s="11">
        <v>9.3563294797687853</v>
      </c>
      <c r="T97" s="69">
        <f t="shared" si="9"/>
        <v>72</v>
      </c>
      <c r="U97" s="23">
        <f t="shared" si="10"/>
        <v>1.4817886845718326E-2</v>
      </c>
      <c r="V97" s="8">
        <f t="shared" si="11"/>
        <v>1.6205331674669549E-2</v>
      </c>
      <c r="W97" s="11">
        <f t="shared" si="12"/>
        <v>2.1855476232265077E-2</v>
      </c>
      <c r="X97" s="23" t="e">
        <f t="shared" si="13"/>
        <v>#DIV/0!</v>
      </c>
      <c r="Y97" s="8" t="e">
        <f t="shared" si="13"/>
        <v>#DIV/0!</v>
      </c>
      <c r="Z97" s="11" t="e">
        <f t="shared" si="13"/>
        <v>#DIV/0!</v>
      </c>
    </row>
    <row r="98" spans="1:26" x14ac:dyDescent="0.3">
      <c r="A98" s="69" t="s">
        <v>543</v>
      </c>
      <c r="B98" s="23" t="s">
        <v>236</v>
      </c>
      <c r="C98" s="8" t="s">
        <v>237</v>
      </c>
      <c r="D98" s="23" t="s">
        <v>236</v>
      </c>
      <c r="E98" s="23" t="s">
        <v>30</v>
      </c>
      <c r="F98" s="8">
        <v>5</v>
      </c>
      <c r="G98" s="61" t="s">
        <v>637</v>
      </c>
      <c r="H98" s="23">
        <v>5.0632813014090061</v>
      </c>
      <c r="I98" s="8">
        <v>5.5587500333786011</v>
      </c>
      <c r="J98" s="11">
        <v>5.0774999894201756</v>
      </c>
      <c r="K98" s="23">
        <v>11.238749884068966</v>
      </c>
      <c r="L98" s="8">
        <v>10.626249946653843</v>
      </c>
      <c r="M98" s="11">
        <v>11.41125001013279</v>
      </c>
      <c r="N98" s="23">
        <v>15.303749591112137</v>
      </c>
      <c r="O98" s="8">
        <v>14.333749562501907</v>
      </c>
      <c r="P98" s="11">
        <v>15.434999763965607</v>
      </c>
      <c r="Q98" s="23">
        <v>9.9142768273716975</v>
      </c>
      <c r="R98" s="8">
        <v>7.2877449455676517</v>
      </c>
      <c r="S98" s="11">
        <v>14.11635838150289</v>
      </c>
      <c r="T98" s="69">
        <f t="shared" si="9"/>
        <v>72</v>
      </c>
      <c r="U98" s="23">
        <f t="shared" si="10"/>
        <v>1.8378150242168833E-2</v>
      </c>
      <c r="V98" s="8">
        <f t="shared" si="11"/>
        <v>1.4288015100485758E-2</v>
      </c>
      <c r="W98" s="11">
        <f t="shared" si="12"/>
        <v>2.5772005639478693E-2</v>
      </c>
      <c r="X98" s="23" t="e">
        <f t="shared" si="13"/>
        <v>#DIV/0!</v>
      </c>
      <c r="Y98" s="8" t="e">
        <f t="shared" si="13"/>
        <v>#DIV/0!</v>
      </c>
      <c r="Z98" s="11" t="e">
        <f t="shared" si="13"/>
        <v>#DIV/0!</v>
      </c>
    </row>
    <row r="99" spans="1:26" x14ac:dyDescent="0.3">
      <c r="A99" s="69" t="s">
        <v>543</v>
      </c>
      <c r="B99" s="23" t="s">
        <v>239</v>
      </c>
      <c r="C99" s="8" t="s">
        <v>240</v>
      </c>
      <c r="D99" s="11" t="s">
        <v>241</v>
      </c>
      <c r="E99" s="23" t="s">
        <v>30</v>
      </c>
      <c r="F99" s="8">
        <v>5</v>
      </c>
      <c r="G99" s="11" t="s">
        <v>638</v>
      </c>
      <c r="H99" s="23">
        <v>4.639374976977706</v>
      </c>
      <c r="I99" s="8">
        <v>4.7512499615550041</v>
      </c>
      <c r="J99" s="11">
        <v>4.3150000274181366</v>
      </c>
      <c r="K99" s="23">
        <v>10.541249997913837</v>
      </c>
      <c r="L99" s="8">
        <v>10.097500123083591</v>
      </c>
      <c r="M99" s="11">
        <v>10.492500104010105</v>
      </c>
      <c r="N99" s="23">
        <v>14.143750444054604</v>
      </c>
      <c r="O99" s="8">
        <v>13.222499564290047</v>
      </c>
      <c r="P99" s="11">
        <v>14.293750002980232</v>
      </c>
      <c r="Q99" s="23">
        <v>42.761835147744947</v>
      </c>
      <c r="R99" s="8">
        <v>45.815956454121306</v>
      </c>
      <c r="S99" s="11">
        <v>44.778554913294791</v>
      </c>
      <c r="T99" s="69">
        <f t="shared" si="9"/>
        <v>72</v>
      </c>
      <c r="U99" s="23">
        <f t="shared" si="10"/>
        <v>8.4512896075354185E-2</v>
      </c>
      <c r="V99" s="8">
        <f t="shared" si="11"/>
        <v>9.4528257604289831E-2</v>
      </c>
      <c r="W99" s="11">
        <f t="shared" si="12"/>
        <v>8.8909845265296092E-2</v>
      </c>
      <c r="X99" s="23" t="e">
        <f t="shared" si="13"/>
        <v>#DIV/0!</v>
      </c>
      <c r="Y99" s="8" t="e">
        <f t="shared" si="13"/>
        <v>#DIV/0!</v>
      </c>
      <c r="Z99" s="11" t="e">
        <f t="shared" si="13"/>
        <v>#DIV/0!</v>
      </c>
    </row>
    <row r="100" spans="1:26" x14ac:dyDescent="0.3">
      <c r="A100" s="69" t="s">
        <v>543</v>
      </c>
      <c r="B100" s="23" t="s">
        <v>243</v>
      </c>
      <c r="C100" s="8" t="s">
        <v>244</v>
      </c>
      <c r="D100" s="11" t="s">
        <v>245</v>
      </c>
      <c r="E100" s="23" t="s">
        <v>82</v>
      </c>
      <c r="F100" s="8">
        <v>5</v>
      </c>
      <c r="G100" s="61" t="s">
        <v>639</v>
      </c>
      <c r="H100" s="23">
        <v>4.7160936519503593</v>
      </c>
      <c r="I100" s="8">
        <v>4.9225000664591789</v>
      </c>
      <c r="J100" s="11">
        <v>4.8837500624358654</v>
      </c>
      <c r="K100" s="23">
        <v>11.629999987781048</v>
      </c>
      <c r="L100" s="8">
        <v>10.624999925494194</v>
      </c>
      <c r="M100" s="11">
        <v>11.283750087022781</v>
      </c>
      <c r="N100" s="23">
        <v>16.038750112056732</v>
      </c>
      <c r="O100" s="8">
        <v>14.796249940991402</v>
      </c>
      <c r="P100" s="11">
        <v>15.414999797940254</v>
      </c>
      <c r="Q100" s="23">
        <v>28.1163005780347</v>
      </c>
      <c r="R100" s="8">
        <v>32.141213063763601</v>
      </c>
      <c r="S100" s="11">
        <v>28.005256609642299</v>
      </c>
      <c r="T100" s="69">
        <f t="shared" si="9"/>
        <v>72</v>
      </c>
      <c r="U100" s="23">
        <f t="shared" si="10"/>
        <v>5.0365972713483143E-2</v>
      </c>
      <c r="V100" s="8">
        <f t="shared" si="11"/>
        <v>6.3021986841466246E-2</v>
      </c>
      <c r="W100" s="11">
        <f t="shared" si="12"/>
        <v>5.1706466514640441E-2</v>
      </c>
      <c r="X100" s="23" t="e">
        <f t="shared" si="13"/>
        <v>#DIV/0!</v>
      </c>
      <c r="Y100" s="8" t="e">
        <f t="shared" si="13"/>
        <v>#DIV/0!</v>
      </c>
      <c r="Z100" s="11" t="e">
        <f t="shared" si="13"/>
        <v>#DIV/0!</v>
      </c>
    </row>
    <row r="101" spans="1:26" x14ac:dyDescent="0.3">
      <c r="A101" s="69" t="s">
        <v>543</v>
      </c>
      <c r="B101" s="23" t="s">
        <v>247</v>
      </c>
      <c r="C101" s="8" t="s">
        <v>248</v>
      </c>
      <c r="D101" s="11" t="s">
        <v>249</v>
      </c>
      <c r="E101" s="23" t="s">
        <v>82</v>
      </c>
      <c r="F101" s="8">
        <v>5</v>
      </c>
      <c r="G101" s="11" t="s">
        <v>640</v>
      </c>
      <c r="H101" s="23">
        <v>3.6343749612569809</v>
      </c>
      <c r="I101" s="8">
        <v>3.3512500114738941</v>
      </c>
      <c r="J101" s="11">
        <v>3.2224999740719795</v>
      </c>
      <c r="K101" s="23">
        <v>7.1112502366304398</v>
      </c>
      <c r="L101" s="8">
        <v>7.3374999687075615</v>
      </c>
      <c r="M101" s="11">
        <v>7.0275001227855682</v>
      </c>
      <c r="N101" s="23">
        <v>9.1237498447299004</v>
      </c>
      <c r="O101" s="8">
        <v>9.1062499210238457</v>
      </c>
      <c r="P101" s="11">
        <v>9.0787500143051147</v>
      </c>
      <c r="Q101" s="23">
        <v>40.071473988439301</v>
      </c>
      <c r="R101" s="8">
        <v>40.662737169517889</v>
      </c>
      <c r="S101" s="11">
        <v>43.073499222395029</v>
      </c>
      <c r="T101" s="69">
        <f t="shared" si="9"/>
        <v>72</v>
      </c>
      <c r="U101" s="23">
        <f t="shared" si="10"/>
        <v>0.11739459968078979</v>
      </c>
      <c r="V101" s="8">
        <f t="shared" si="11"/>
        <v>0.11545354157562006</v>
      </c>
      <c r="W101" s="11">
        <f t="shared" si="12"/>
        <v>0.12769328373594271</v>
      </c>
      <c r="X101" s="23" t="e">
        <f t="shared" si="13"/>
        <v>#DIV/0!</v>
      </c>
      <c r="Y101" s="8" t="e">
        <f t="shared" si="13"/>
        <v>#DIV/0!</v>
      </c>
      <c r="Z101" s="11" t="e">
        <f t="shared" si="13"/>
        <v>#DIV/0!</v>
      </c>
    </row>
    <row r="102" spans="1:26" x14ac:dyDescent="0.3">
      <c r="A102" s="69" t="s">
        <v>543</v>
      </c>
      <c r="B102" s="23" t="s">
        <v>251</v>
      </c>
      <c r="C102" s="8" t="s">
        <v>252</v>
      </c>
      <c r="D102" s="11" t="s">
        <v>253</v>
      </c>
      <c r="E102" s="23" t="s">
        <v>82</v>
      </c>
      <c r="F102" s="8">
        <v>5</v>
      </c>
      <c r="G102" s="61" t="s">
        <v>641</v>
      </c>
      <c r="H102" s="23">
        <v>2.8651561588048935</v>
      </c>
      <c r="I102" s="8">
        <v>5.0812500528991222</v>
      </c>
      <c r="J102" s="11">
        <v>5.0575000233948231</v>
      </c>
      <c r="K102" s="23">
        <v>6.4687498845160007</v>
      </c>
      <c r="L102" s="8">
        <v>6.5587500110268593</v>
      </c>
      <c r="M102" s="11">
        <v>6.5712500363588333</v>
      </c>
      <c r="N102" s="23">
        <v>7.5725000351667404</v>
      </c>
      <c r="O102" s="8">
        <v>7.6112499460577965</v>
      </c>
      <c r="P102" s="11">
        <v>7.7399998903274536</v>
      </c>
      <c r="Q102" s="23">
        <v>2.1215895953757</v>
      </c>
      <c r="R102" s="8">
        <v>4.4602799377915998</v>
      </c>
      <c r="S102" s="11">
        <v>5.9894867807154002</v>
      </c>
      <c r="T102" s="69">
        <f t="shared" si="9"/>
        <v>72</v>
      </c>
      <c r="U102" s="23">
        <f t="shared" si="10"/>
        <v>6.8328168542724282E-3</v>
      </c>
      <c r="V102" s="8">
        <f t="shared" si="11"/>
        <v>1.4167714663276732E-2</v>
      </c>
      <c r="W102" s="11">
        <f t="shared" si="12"/>
        <v>1.8988925076328298E-2</v>
      </c>
      <c r="X102" s="23" t="e">
        <f t="shared" si="13"/>
        <v>#DIV/0!</v>
      </c>
      <c r="Y102" s="8" t="e">
        <f t="shared" si="13"/>
        <v>#DIV/0!</v>
      </c>
      <c r="Z102" s="11" t="e">
        <f t="shared" si="13"/>
        <v>#DIV/0!</v>
      </c>
    </row>
    <row r="103" spans="1:26" x14ac:dyDescent="0.3">
      <c r="A103" s="69" t="s">
        <v>543</v>
      </c>
      <c r="B103" s="23" t="s">
        <v>255</v>
      </c>
      <c r="C103" s="8">
        <v>0</v>
      </c>
      <c r="D103" s="11" t="s">
        <v>256</v>
      </c>
      <c r="E103" s="23" t="s">
        <v>82</v>
      </c>
      <c r="F103" s="8">
        <v>5</v>
      </c>
      <c r="G103" s="11" t="s">
        <v>642</v>
      </c>
      <c r="H103" s="23">
        <v>4.3704686686396599</v>
      </c>
      <c r="I103" s="8">
        <v>5.0112500786781311</v>
      </c>
      <c r="J103" s="11">
        <v>5.0174999982118607</v>
      </c>
      <c r="K103" s="23">
        <v>11.057499796152115</v>
      </c>
      <c r="L103" s="8">
        <v>10.73249988257885</v>
      </c>
      <c r="M103" s="11">
        <v>11.07999999076128</v>
      </c>
      <c r="N103" s="23">
        <v>15.2537502348423</v>
      </c>
      <c r="O103" s="8">
        <v>13.25874999165535</v>
      </c>
      <c r="P103" s="11">
        <v>14.865000173449516</v>
      </c>
      <c r="Q103" s="23">
        <v>25.827658959537601</v>
      </c>
      <c r="R103" s="8">
        <v>22.8881804043546</v>
      </c>
      <c r="S103" s="11">
        <v>25.1245723172628</v>
      </c>
      <c r="T103" s="69">
        <f t="shared" si="9"/>
        <v>72</v>
      </c>
      <c r="U103" s="23">
        <f t="shared" si="10"/>
        <v>4.8661653922068754E-2</v>
      </c>
      <c r="V103" s="8">
        <f t="shared" si="11"/>
        <v>4.4429265965462199E-2</v>
      </c>
      <c r="W103" s="11">
        <f t="shared" si="12"/>
        <v>4.7240847507167866E-2</v>
      </c>
      <c r="X103" s="23" t="e">
        <f t="shared" si="13"/>
        <v>#DIV/0!</v>
      </c>
      <c r="Y103" s="8" t="e">
        <f t="shared" si="13"/>
        <v>#DIV/0!</v>
      </c>
      <c r="Z103" s="11" t="e">
        <f t="shared" si="13"/>
        <v>#DIV/0!</v>
      </c>
    </row>
    <row r="104" spans="1:26" x14ac:dyDescent="0.3">
      <c r="A104" s="69" t="s">
        <v>543</v>
      </c>
      <c r="B104" s="23" t="s">
        <v>258</v>
      </c>
      <c r="C104" s="8" t="s">
        <v>259</v>
      </c>
      <c r="D104" s="11" t="s">
        <v>260</v>
      </c>
      <c r="E104" s="23" t="s">
        <v>82</v>
      </c>
      <c r="F104" s="8">
        <v>5</v>
      </c>
      <c r="G104" s="61" t="s">
        <v>643</v>
      </c>
      <c r="H104" s="23">
        <v>3.583437530323863</v>
      </c>
      <c r="I104" s="8">
        <v>3.2475000247359276</v>
      </c>
      <c r="J104" s="11">
        <v>3.2025001011788845</v>
      </c>
      <c r="K104" s="23">
        <v>7.2112500667572021</v>
      </c>
      <c r="L104" s="8">
        <v>6.9174999371170998</v>
      </c>
      <c r="M104" s="11">
        <v>7.3900001123547554</v>
      </c>
      <c r="N104" s="23">
        <v>10.497500002384186</v>
      </c>
      <c r="O104" s="8">
        <v>10.169999860227108</v>
      </c>
      <c r="P104" s="11">
        <v>10.499999858438969</v>
      </c>
      <c r="Q104" s="23">
        <v>10.465491329479768</v>
      </c>
      <c r="R104" s="8">
        <v>12.91592485549133</v>
      </c>
      <c r="S104" s="11">
        <v>5.6120684292379481</v>
      </c>
      <c r="T104" s="69">
        <f t="shared" si="9"/>
        <v>72</v>
      </c>
      <c r="U104" s="23">
        <f t="shared" si="10"/>
        <v>3.023485073264244E-2</v>
      </c>
      <c r="V104" s="8">
        <f t="shared" si="11"/>
        <v>3.8898701882009286E-2</v>
      </c>
      <c r="W104" s="11">
        <f t="shared" si="12"/>
        <v>1.5821121853614655E-2</v>
      </c>
      <c r="X104" s="23" t="e">
        <f t="shared" si="13"/>
        <v>#DIV/0!</v>
      </c>
      <c r="Y104" s="8" t="e">
        <f t="shared" si="13"/>
        <v>#DIV/0!</v>
      </c>
      <c r="Z104" s="11" t="e">
        <f t="shared" si="13"/>
        <v>#DIV/0!</v>
      </c>
    </row>
    <row r="105" spans="1:26" x14ac:dyDescent="0.3">
      <c r="A105" s="69" t="s">
        <v>543</v>
      </c>
      <c r="B105" s="23" t="s">
        <v>262</v>
      </c>
      <c r="C105" s="8" t="s">
        <v>263</v>
      </c>
      <c r="D105" s="11" t="s">
        <v>264</v>
      </c>
      <c r="E105" s="23" t="s">
        <v>82</v>
      </c>
      <c r="F105" s="8">
        <v>5</v>
      </c>
      <c r="G105" s="11" t="s">
        <v>644</v>
      </c>
      <c r="H105" s="23">
        <v>4.7424999997019768</v>
      </c>
      <c r="I105" s="8">
        <v>4.7887499444186687</v>
      </c>
      <c r="J105" s="11">
        <v>4.7575000673532486</v>
      </c>
      <c r="K105" s="23">
        <v>11.440000124275684</v>
      </c>
      <c r="L105" s="8">
        <v>11.19375005364418</v>
      </c>
      <c r="M105" s="11">
        <v>11.230000108480453</v>
      </c>
      <c r="N105" s="23">
        <v>14.808750152587891</v>
      </c>
      <c r="O105" s="8">
        <v>15.113749727606773</v>
      </c>
      <c r="P105" s="11">
        <v>14.970000088214874</v>
      </c>
      <c r="Q105" s="23">
        <v>10.113497109826588</v>
      </c>
      <c r="R105" s="8">
        <v>11.44150289017341</v>
      </c>
      <c r="S105" s="11">
        <v>14.292919075144509</v>
      </c>
      <c r="T105" s="69">
        <f t="shared" si="9"/>
        <v>72</v>
      </c>
      <c r="U105" s="23">
        <f t="shared" si="10"/>
        <v>1.8417644594917411E-2</v>
      </c>
      <c r="V105" s="8">
        <f t="shared" si="11"/>
        <v>2.129444041567451E-2</v>
      </c>
      <c r="W105" s="11">
        <f t="shared" si="12"/>
        <v>2.6515507081249307E-2</v>
      </c>
      <c r="X105" s="23" t="e">
        <f t="shared" si="13"/>
        <v>#DIV/0!</v>
      </c>
      <c r="Y105" s="8" t="e">
        <f t="shared" si="13"/>
        <v>#DIV/0!</v>
      </c>
      <c r="Z105" s="11" t="e">
        <f t="shared" si="13"/>
        <v>#DIV/0!</v>
      </c>
    </row>
    <row r="106" spans="1:26" x14ac:dyDescent="0.3">
      <c r="A106" s="69" t="s">
        <v>543</v>
      </c>
      <c r="B106" s="23" t="s">
        <v>266</v>
      </c>
      <c r="C106" s="8" t="s">
        <v>267</v>
      </c>
      <c r="D106" s="11" t="s">
        <v>268</v>
      </c>
      <c r="E106" s="23" t="s">
        <v>82</v>
      </c>
      <c r="F106" s="8">
        <v>5</v>
      </c>
      <c r="G106" s="61" t="s">
        <v>645</v>
      </c>
      <c r="H106" s="23">
        <v>3.9725000038743019</v>
      </c>
      <c r="I106" s="8">
        <v>3.9612499997019768</v>
      </c>
      <c r="J106" s="11">
        <v>3.8800000213086605</v>
      </c>
      <c r="K106" s="23">
        <v>8.7687501683831215</v>
      </c>
      <c r="L106" s="8">
        <v>8.6149999871850014</v>
      </c>
      <c r="M106" s="11">
        <v>8.905000239610672</v>
      </c>
      <c r="N106" s="23">
        <v>12.812500074505806</v>
      </c>
      <c r="O106" s="8">
        <v>12.243750132620335</v>
      </c>
      <c r="P106" s="11">
        <v>12.754999846220016</v>
      </c>
      <c r="Q106" s="23">
        <v>38.376358381502797</v>
      </c>
      <c r="R106" s="8">
        <v>38.760433526011496</v>
      </c>
      <c r="S106" s="11">
        <v>40.489826589595403</v>
      </c>
      <c r="T106" s="69">
        <f t="shared" si="9"/>
        <v>72</v>
      </c>
      <c r="U106" s="23">
        <f t="shared" si="10"/>
        <v>9.1176901032491195E-2</v>
      </c>
      <c r="V106" s="8">
        <f t="shared" si="11"/>
        <v>9.3732911548821032E-2</v>
      </c>
      <c r="W106" s="11">
        <f t="shared" si="12"/>
        <v>9.4726337030035135E-2</v>
      </c>
      <c r="X106" s="23" t="e">
        <f t="shared" si="13"/>
        <v>#DIV/0!</v>
      </c>
      <c r="Y106" s="8" t="e">
        <f t="shared" si="13"/>
        <v>#DIV/0!</v>
      </c>
      <c r="Z106" s="11" t="e">
        <f t="shared" si="13"/>
        <v>#DIV/0!</v>
      </c>
    </row>
    <row r="107" spans="1:26" x14ac:dyDescent="0.3">
      <c r="A107" s="69" t="s">
        <v>543</v>
      </c>
      <c r="B107" s="23" t="s">
        <v>270</v>
      </c>
      <c r="C107" s="8" t="s">
        <v>271</v>
      </c>
      <c r="D107" s="11" t="s">
        <v>272</v>
      </c>
      <c r="E107" s="23" t="s">
        <v>82</v>
      </c>
      <c r="F107" s="8">
        <v>5</v>
      </c>
      <c r="G107" s="11" t="s">
        <v>646</v>
      </c>
      <c r="H107" s="23">
        <v>3.8325000554323196</v>
      </c>
      <c r="I107" s="8">
        <v>3.8987499661743641</v>
      </c>
      <c r="J107" s="11">
        <v>3.9137500338256359</v>
      </c>
      <c r="K107" s="23">
        <v>8.7537501007318497</v>
      </c>
      <c r="L107" s="8">
        <v>8.4625000134110451</v>
      </c>
      <c r="M107" s="11">
        <v>8.5637500509619713</v>
      </c>
      <c r="N107" s="23">
        <v>12.446250207722187</v>
      </c>
      <c r="O107" s="8">
        <v>11.847500130534172</v>
      </c>
      <c r="P107" s="11">
        <v>12.263750098645687</v>
      </c>
      <c r="Q107" s="23">
        <v>48.971560693641599</v>
      </c>
      <c r="R107" s="8">
        <v>47.783815028901699</v>
      </c>
      <c r="S107" s="11">
        <v>48.918381502890099</v>
      </c>
      <c r="T107" s="69">
        <f t="shared" si="9"/>
        <v>72</v>
      </c>
      <c r="U107" s="23">
        <f t="shared" si="10"/>
        <v>0.11654900311797839</v>
      </c>
      <c r="V107" s="8">
        <f t="shared" si="11"/>
        <v>0.11763617664494275</v>
      </c>
      <c r="W107" s="11">
        <f t="shared" si="12"/>
        <v>0.11900545227407673</v>
      </c>
      <c r="X107" s="23" t="e">
        <f t="shared" si="13"/>
        <v>#DIV/0!</v>
      </c>
      <c r="Y107" s="8" t="e">
        <f t="shared" si="13"/>
        <v>#DIV/0!</v>
      </c>
      <c r="Z107" s="11" t="e">
        <f t="shared" si="13"/>
        <v>#DIV/0!</v>
      </c>
    </row>
    <row r="108" spans="1:26" x14ac:dyDescent="0.3">
      <c r="A108" s="69" t="s">
        <v>543</v>
      </c>
      <c r="B108" s="23" t="s">
        <v>86</v>
      </c>
      <c r="C108" s="8" t="s">
        <v>86</v>
      </c>
      <c r="D108" s="11" t="s">
        <v>86</v>
      </c>
      <c r="E108" s="23" t="s">
        <v>87</v>
      </c>
      <c r="F108" s="8">
        <v>5</v>
      </c>
      <c r="G108" s="11" t="s">
        <v>647</v>
      </c>
      <c r="H108" s="23">
        <v>4.3374999426305294</v>
      </c>
      <c r="I108" s="8">
        <v>4.5037500560283661</v>
      </c>
      <c r="J108" s="11">
        <v>4.6049999073147774</v>
      </c>
      <c r="K108" s="23">
        <v>10.214999876916409</v>
      </c>
      <c r="L108" s="8">
        <v>10.240000113844872</v>
      </c>
      <c r="M108" s="11">
        <v>10.661250166594982</v>
      </c>
      <c r="N108" s="23">
        <v>13.757500052452087</v>
      </c>
      <c r="O108" s="8">
        <v>13.527499884366989</v>
      </c>
      <c r="P108" s="11">
        <v>14.16500024497509</v>
      </c>
      <c r="Q108" s="23">
        <v>11.093728323699423</v>
      </c>
      <c r="R108" s="8">
        <v>12.033988439306357</v>
      </c>
      <c r="S108" s="11">
        <v>18.072080924855491</v>
      </c>
      <c r="T108" s="69">
        <f t="shared" si="9"/>
        <v>72</v>
      </c>
      <c r="U108" s="23">
        <f t="shared" si="10"/>
        <v>2.2625486330092748E-2</v>
      </c>
      <c r="V108" s="8">
        <f t="shared" si="11"/>
        <v>2.4483211884595801E-2</v>
      </c>
      <c r="W108" s="11">
        <f t="shared" si="12"/>
        <v>3.5314965885913312E-2</v>
      </c>
      <c r="X108" s="23" t="e">
        <f t="shared" si="13"/>
        <v>#DIV/0!</v>
      </c>
      <c r="Y108" s="8" t="e">
        <f t="shared" si="13"/>
        <v>#DIV/0!</v>
      </c>
      <c r="Z108" s="11" t="e">
        <f t="shared" si="13"/>
        <v>#DIV/0!</v>
      </c>
    </row>
    <row r="109" spans="1:26" x14ac:dyDescent="0.3">
      <c r="A109" s="69" t="s">
        <v>543</v>
      </c>
      <c r="B109" t="s">
        <v>274</v>
      </c>
      <c r="C109" t="s">
        <v>275</v>
      </c>
      <c r="D109" s="11" t="s">
        <v>276</v>
      </c>
      <c r="E109" s="23" t="s">
        <v>30</v>
      </c>
      <c r="F109" s="8">
        <v>1</v>
      </c>
      <c r="G109" s="11" t="s">
        <v>648</v>
      </c>
      <c r="H109" s="23">
        <v>4.7339062206447124</v>
      </c>
      <c r="I109" s="8">
        <v>4.8262500204145908</v>
      </c>
      <c r="J109" s="11">
        <v>4.8849999904632568</v>
      </c>
      <c r="K109" s="23">
        <v>7.655000127851963</v>
      </c>
      <c r="L109" s="8">
        <v>7.4599999934434891</v>
      </c>
      <c r="M109" s="11">
        <v>7.3075000196695328</v>
      </c>
      <c r="N109" s="23" t="s">
        <v>32</v>
      </c>
      <c r="O109" s="8" t="s">
        <v>32</v>
      </c>
      <c r="P109" s="11" t="s">
        <v>32</v>
      </c>
      <c r="Q109" s="71">
        <v>22.329650000000001</v>
      </c>
      <c r="R109" s="12">
        <v>16.048317000000001</v>
      </c>
      <c r="S109" s="72">
        <v>14.83615</v>
      </c>
      <c r="T109" s="69">
        <f t="shared" si="9"/>
        <v>48</v>
      </c>
      <c r="U109" s="23">
        <f t="shared" si="10"/>
        <v>0.12154174628268877</v>
      </c>
      <c r="V109" s="8">
        <f t="shared" si="11"/>
        <v>8.9635372062693744E-2</v>
      </c>
      <c r="W109" s="11">
        <f t="shared" si="12"/>
        <v>8.4594309271671039E-2</v>
      </c>
      <c r="X109" s="23" t="e">
        <f>U109/AVERAGE($U$365:$W$365)</f>
        <v>#DIV/0!</v>
      </c>
      <c r="Y109" s="8" t="e">
        <f>V109/AVERAGE($U$365:$W$365)</f>
        <v>#DIV/0!</v>
      </c>
      <c r="Z109" s="11" t="e">
        <f>W109/AVERAGE($U$365:$W$365)</f>
        <v>#DIV/0!</v>
      </c>
    </row>
    <row r="110" spans="1:26" x14ac:dyDescent="0.3">
      <c r="A110" s="69" t="s">
        <v>543</v>
      </c>
      <c r="B110" s="11" t="s">
        <v>278</v>
      </c>
      <c r="C110" t="s">
        <v>279</v>
      </c>
      <c r="D110" s="11" t="s">
        <v>278</v>
      </c>
      <c r="E110" s="23" t="s">
        <v>30</v>
      </c>
      <c r="F110" s="8">
        <v>1</v>
      </c>
      <c r="G110" s="11" t="s">
        <v>649</v>
      </c>
      <c r="H110" s="23">
        <v>4.7831250354647636</v>
      </c>
      <c r="I110" s="8">
        <v>4.5712499879300594</v>
      </c>
      <c r="J110" s="11">
        <v>4.6299999579787254</v>
      </c>
      <c r="K110" s="23">
        <v>11.528749763965607</v>
      </c>
      <c r="L110" s="8">
        <v>10.923750139772892</v>
      </c>
      <c r="M110" s="11">
        <v>11.171249859035015</v>
      </c>
      <c r="N110" s="23" t="s">
        <v>32</v>
      </c>
      <c r="O110" s="8" t="s">
        <v>32</v>
      </c>
      <c r="P110" s="11" t="s">
        <v>32</v>
      </c>
      <c r="Q110" s="71">
        <v>18.59535</v>
      </c>
      <c r="R110" s="12">
        <v>17.090016670000001</v>
      </c>
      <c r="S110" s="72">
        <v>16.169466669999998</v>
      </c>
      <c r="T110" s="69">
        <f t="shared" si="9"/>
        <v>48</v>
      </c>
      <c r="U110" s="23">
        <f t="shared" si="10"/>
        <v>6.7206441796641592E-2</v>
      </c>
      <c r="V110" s="8">
        <f t="shared" si="11"/>
        <v>6.5186773663377759E-2</v>
      </c>
      <c r="W110" s="11">
        <f t="shared" si="12"/>
        <v>6.0309077893533382E-2</v>
      </c>
      <c r="X110" s="23" t="e">
        <f t="shared" ref="X110:Z120" si="14">U110/AVERAGE($U$365:$W$365)</f>
        <v>#DIV/0!</v>
      </c>
      <c r="Y110" s="8" t="e">
        <f t="shared" si="14"/>
        <v>#DIV/0!</v>
      </c>
      <c r="Z110" s="11" t="e">
        <f t="shared" si="14"/>
        <v>#DIV/0!</v>
      </c>
    </row>
    <row r="111" spans="1:26" x14ac:dyDescent="0.3">
      <c r="A111" s="69" t="s">
        <v>543</v>
      </c>
      <c r="B111" t="s">
        <v>281</v>
      </c>
      <c r="C111" t="s">
        <v>282</v>
      </c>
      <c r="D111" s="11" t="s">
        <v>283</v>
      </c>
      <c r="E111" s="23" t="s">
        <v>30</v>
      </c>
      <c r="F111" s="8">
        <v>1</v>
      </c>
      <c r="G111" s="11" t="s">
        <v>650</v>
      </c>
      <c r="H111" s="23">
        <v>4.5489062555134296</v>
      </c>
      <c r="I111" s="8">
        <v>5.1324999891221523</v>
      </c>
      <c r="J111" s="11">
        <v>5.038749985396862</v>
      </c>
      <c r="K111" s="23">
        <v>9.5712499693036079</v>
      </c>
      <c r="L111" s="8">
        <v>11.13124992698431</v>
      </c>
      <c r="M111" s="11">
        <v>11.791250109672546</v>
      </c>
      <c r="N111" s="23" t="s">
        <v>32</v>
      </c>
      <c r="O111" s="8" t="s">
        <v>32</v>
      </c>
      <c r="P111" s="11" t="s">
        <v>32</v>
      </c>
      <c r="Q111" s="71">
        <v>4.9256167</v>
      </c>
      <c r="R111" s="12">
        <v>3.6966332999999998</v>
      </c>
      <c r="S111" s="72">
        <v>3.2949166999999999</v>
      </c>
      <c r="T111" s="69">
        <f t="shared" si="9"/>
        <v>48</v>
      </c>
      <c r="U111" s="23">
        <f t="shared" si="10"/>
        <v>2.1442761376505897E-2</v>
      </c>
      <c r="V111" s="8">
        <f t="shared" si="11"/>
        <v>1.3837294868980539E-2</v>
      </c>
      <c r="W111" s="11">
        <f t="shared" si="12"/>
        <v>1.1643226507485721E-2</v>
      </c>
      <c r="X111" s="23" t="e">
        <f t="shared" si="14"/>
        <v>#DIV/0!</v>
      </c>
      <c r="Y111" s="8" t="e">
        <f t="shared" si="14"/>
        <v>#DIV/0!</v>
      </c>
      <c r="Z111" s="11" t="e">
        <f t="shared" si="14"/>
        <v>#DIV/0!</v>
      </c>
    </row>
    <row r="112" spans="1:26" x14ac:dyDescent="0.3">
      <c r="A112" s="69" t="s">
        <v>543</v>
      </c>
      <c r="B112" s="11" t="s">
        <v>285</v>
      </c>
      <c r="C112" t="s">
        <v>286</v>
      </c>
      <c r="D112" s="11" t="s">
        <v>285</v>
      </c>
      <c r="E112" s="23" t="s">
        <v>30</v>
      </c>
      <c r="F112" s="8">
        <v>1</v>
      </c>
      <c r="G112" s="11" t="s">
        <v>651</v>
      </c>
      <c r="H112" s="23">
        <v>4.7562500461935997</v>
      </c>
      <c r="I112" s="8">
        <v>4.4637500308454037</v>
      </c>
      <c r="J112" s="11">
        <v>4.205000028014183</v>
      </c>
      <c r="K112" s="23">
        <v>10.363750159740448</v>
      </c>
      <c r="L112" s="8">
        <v>11.632500216364861</v>
      </c>
      <c r="M112" s="11">
        <v>12.013750150799751</v>
      </c>
      <c r="N112" s="23" t="s">
        <v>32</v>
      </c>
      <c r="O112" s="8" t="s">
        <v>32</v>
      </c>
      <c r="P112" s="11" t="s">
        <v>32</v>
      </c>
      <c r="Q112" s="71">
        <v>6.2631500000000004</v>
      </c>
      <c r="R112" s="12">
        <v>9.7161829999999991</v>
      </c>
      <c r="S112" s="72">
        <v>9.5163170000000008</v>
      </c>
      <c r="T112" s="69">
        <f t="shared" si="9"/>
        <v>48</v>
      </c>
      <c r="U112" s="23">
        <f t="shared" si="10"/>
        <v>2.5180516638377646E-2</v>
      </c>
      <c r="V112" s="8">
        <f t="shared" si="11"/>
        <v>3.4802574752054942E-2</v>
      </c>
      <c r="W112" s="11">
        <f t="shared" si="12"/>
        <v>3.3004948775877251E-2</v>
      </c>
      <c r="X112" s="23" t="e">
        <f t="shared" si="14"/>
        <v>#DIV/0!</v>
      </c>
      <c r="Y112" s="8" t="e">
        <f t="shared" si="14"/>
        <v>#DIV/0!</v>
      </c>
      <c r="Z112" s="11" t="e">
        <f t="shared" si="14"/>
        <v>#DIV/0!</v>
      </c>
    </row>
    <row r="113" spans="1:26" x14ac:dyDescent="0.3">
      <c r="A113" s="69" t="s">
        <v>543</v>
      </c>
      <c r="B113" t="s">
        <v>288</v>
      </c>
      <c r="C113" t="s">
        <v>289</v>
      </c>
      <c r="D113" s="11" t="s">
        <v>290</v>
      </c>
      <c r="E113" s="23" t="s">
        <v>30</v>
      </c>
      <c r="F113" s="8">
        <v>1</v>
      </c>
      <c r="G113" s="11" t="s">
        <v>652</v>
      </c>
      <c r="H113" s="23">
        <v>4.2079687118530273</v>
      </c>
      <c r="I113" s="8">
        <v>3.6087499931454659</v>
      </c>
      <c r="J113" s="11">
        <v>3.4387500025331974</v>
      </c>
      <c r="K113" s="23">
        <v>10.801250115036964</v>
      </c>
      <c r="L113" s="8">
        <v>10.153749957680702</v>
      </c>
      <c r="M113" s="11">
        <v>10.933749936521053</v>
      </c>
      <c r="N113" s="23" t="s">
        <v>32</v>
      </c>
      <c r="O113" s="8" t="s">
        <v>32</v>
      </c>
      <c r="P113" s="11" t="s">
        <v>32</v>
      </c>
      <c r="Q113" s="71">
        <v>11.75065</v>
      </c>
      <c r="R113" s="12">
        <v>12.947333</v>
      </c>
      <c r="S113" s="72">
        <v>13.365283</v>
      </c>
      <c r="T113" s="69">
        <f t="shared" si="9"/>
        <v>48</v>
      </c>
      <c r="U113" s="23">
        <f t="shared" si="10"/>
        <v>4.532905093874786E-2</v>
      </c>
      <c r="V113" s="8">
        <f t="shared" si="11"/>
        <v>5.3130342049171199E-2</v>
      </c>
      <c r="W113" s="11">
        <f t="shared" si="12"/>
        <v>5.093282678859759E-2</v>
      </c>
      <c r="X113" s="23" t="e">
        <f t="shared" si="14"/>
        <v>#DIV/0!</v>
      </c>
      <c r="Y113" s="8" t="e">
        <f t="shared" si="14"/>
        <v>#DIV/0!</v>
      </c>
      <c r="Z113" s="11" t="e">
        <f t="shared" si="14"/>
        <v>#DIV/0!</v>
      </c>
    </row>
    <row r="114" spans="1:26" x14ac:dyDescent="0.3">
      <c r="A114" s="69" t="s">
        <v>543</v>
      </c>
      <c r="B114" t="s">
        <v>292</v>
      </c>
      <c r="C114" t="s">
        <v>293</v>
      </c>
      <c r="D114" s="11" t="s">
        <v>294</v>
      </c>
      <c r="E114" s="23" t="s">
        <v>30</v>
      </c>
      <c r="F114" s="8">
        <v>1</v>
      </c>
      <c r="G114" s="11" t="s">
        <v>653</v>
      </c>
      <c r="H114" s="23">
        <v>4.7253124415874481</v>
      </c>
      <c r="I114" s="8">
        <v>4.5862500555813313</v>
      </c>
      <c r="J114" s="11">
        <v>4.59624994546175</v>
      </c>
      <c r="K114" s="23">
        <v>7.7674999833106995</v>
      </c>
      <c r="L114" s="8">
        <v>7.5349999591708183</v>
      </c>
      <c r="M114" s="11">
        <v>7.9874999821186066</v>
      </c>
      <c r="N114" s="23" t="s">
        <v>32</v>
      </c>
      <c r="O114" s="8" t="s">
        <v>32</v>
      </c>
      <c r="P114" s="11" t="s">
        <v>32</v>
      </c>
      <c r="Q114" s="71">
        <v>17.251467000000002</v>
      </c>
      <c r="R114" s="12">
        <v>16.405417</v>
      </c>
      <c r="S114" s="72">
        <v>16.979067000000001</v>
      </c>
      <c r="T114" s="69">
        <f t="shared" si="9"/>
        <v>48</v>
      </c>
      <c r="U114" s="23">
        <f t="shared" si="10"/>
        <v>9.2540859548689069E-2</v>
      </c>
      <c r="V114" s="8">
        <f t="shared" si="11"/>
        <v>9.0717856054492688E-2</v>
      </c>
      <c r="W114" s="11">
        <f t="shared" si="12"/>
        <v>8.8571033062131266E-2</v>
      </c>
      <c r="X114" s="23" t="e">
        <f t="shared" si="14"/>
        <v>#DIV/0!</v>
      </c>
      <c r="Y114" s="8" t="e">
        <f t="shared" si="14"/>
        <v>#DIV/0!</v>
      </c>
      <c r="Z114" s="11" t="e">
        <f t="shared" si="14"/>
        <v>#DIV/0!</v>
      </c>
    </row>
    <row r="115" spans="1:26" x14ac:dyDescent="0.3">
      <c r="A115" s="69" t="s">
        <v>543</v>
      </c>
      <c r="B115" t="s">
        <v>296</v>
      </c>
      <c r="C115" t="s">
        <v>297</v>
      </c>
      <c r="D115" s="11" t="s">
        <v>298</v>
      </c>
      <c r="E115" s="23" t="s">
        <v>30</v>
      </c>
      <c r="F115" s="8">
        <v>1</v>
      </c>
      <c r="G115" s="11" t="s">
        <v>654</v>
      </c>
      <c r="H115" s="23">
        <v>4.7890624962747097</v>
      </c>
      <c r="I115" s="8">
        <v>5.0099999643862247</v>
      </c>
      <c r="J115" s="11">
        <v>4.7612500376999378</v>
      </c>
      <c r="K115" s="23">
        <v>11.312500014901161</v>
      </c>
      <c r="L115" s="8">
        <v>10.680000111460686</v>
      </c>
      <c r="M115" s="11">
        <v>11.119999922811985</v>
      </c>
      <c r="N115" s="23" t="s">
        <v>32</v>
      </c>
      <c r="O115" s="8" t="s">
        <v>32</v>
      </c>
      <c r="P115" s="11" t="s">
        <v>32</v>
      </c>
      <c r="Q115" s="71">
        <v>4.6311166999999998</v>
      </c>
      <c r="R115" s="12">
        <v>4.9716500000000003</v>
      </c>
      <c r="S115" s="72">
        <v>5.3119832999999996</v>
      </c>
      <c r="T115" s="69">
        <f t="shared" si="9"/>
        <v>48</v>
      </c>
      <c r="U115" s="23">
        <f t="shared" si="10"/>
        <v>1.7057520051196151E-2</v>
      </c>
      <c r="V115" s="8">
        <f t="shared" si="11"/>
        <v>1.9396262281967478E-2</v>
      </c>
      <c r="W115" s="11">
        <f t="shared" si="12"/>
        <v>1.9904014301830156E-2</v>
      </c>
      <c r="X115" s="23" t="e">
        <f t="shared" si="14"/>
        <v>#DIV/0!</v>
      </c>
      <c r="Y115" s="8" t="e">
        <f t="shared" si="14"/>
        <v>#DIV/0!</v>
      </c>
      <c r="Z115" s="11" t="e">
        <f t="shared" si="14"/>
        <v>#DIV/0!</v>
      </c>
    </row>
    <row r="116" spans="1:26" x14ac:dyDescent="0.3">
      <c r="A116" s="69" t="s">
        <v>543</v>
      </c>
      <c r="B116" t="s">
        <v>300</v>
      </c>
      <c r="C116" t="s">
        <v>301</v>
      </c>
      <c r="D116" s="11" t="s">
        <v>302</v>
      </c>
      <c r="E116" s="23" t="s">
        <v>30</v>
      </c>
      <c r="F116" s="8">
        <v>1</v>
      </c>
      <c r="G116" s="11" t="s">
        <v>655</v>
      </c>
      <c r="H116" s="23">
        <v>4.4087499380111694</v>
      </c>
      <c r="I116" s="8">
        <v>4.022500105202198</v>
      </c>
      <c r="J116" s="11">
        <v>4.0224999189376831</v>
      </c>
      <c r="K116" s="23">
        <v>10.816249996423721</v>
      </c>
      <c r="L116" s="8">
        <v>11.203749850392342</v>
      </c>
      <c r="M116" s="11">
        <v>10.84624994546175</v>
      </c>
      <c r="N116" s="23" t="s">
        <v>32</v>
      </c>
      <c r="O116" s="8" t="s">
        <v>32</v>
      </c>
      <c r="P116" s="11" t="s">
        <v>32</v>
      </c>
      <c r="Q116" s="71">
        <v>13.745917</v>
      </c>
      <c r="R116" s="12">
        <v>14.310667</v>
      </c>
      <c r="S116" s="72">
        <v>16.913682999999999</v>
      </c>
      <c r="T116" s="69">
        <f t="shared" si="9"/>
        <v>48</v>
      </c>
      <c r="U116" s="23">
        <f t="shared" si="10"/>
        <v>5.2952413438672297E-2</v>
      </c>
      <c r="V116" s="8">
        <f t="shared" si="11"/>
        <v>5.3221269631058908E-2</v>
      </c>
      <c r="W116" s="11">
        <f t="shared" si="12"/>
        <v>6.4975156870835354E-2</v>
      </c>
      <c r="X116" s="23" t="e">
        <f t="shared" si="14"/>
        <v>#DIV/0!</v>
      </c>
      <c r="Y116" s="8" t="e">
        <f t="shared" si="14"/>
        <v>#DIV/0!</v>
      </c>
      <c r="Z116" s="11" t="e">
        <f t="shared" si="14"/>
        <v>#DIV/0!</v>
      </c>
    </row>
    <row r="117" spans="1:26" x14ac:dyDescent="0.3">
      <c r="A117" s="69" t="s">
        <v>543</v>
      </c>
      <c r="B117" t="s">
        <v>304</v>
      </c>
      <c r="C117" t="s">
        <v>305</v>
      </c>
      <c r="D117" s="11" t="s">
        <v>306</v>
      </c>
      <c r="E117" s="23" t="s">
        <v>30</v>
      </c>
      <c r="F117" s="8">
        <v>1</v>
      </c>
      <c r="G117" s="11" t="s">
        <v>656</v>
      </c>
      <c r="H117" s="23">
        <v>4.6498437412083149</v>
      </c>
      <c r="I117" s="8">
        <v>5.7562500238418579</v>
      </c>
      <c r="J117" s="11">
        <v>5.4137500002980232</v>
      </c>
      <c r="K117" s="23">
        <v>11.024999991059303</v>
      </c>
      <c r="L117" s="8">
        <v>10.838750191032887</v>
      </c>
      <c r="M117" s="11">
        <v>11.515000090003014</v>
      </c>
      <c r="N117" s="23" t="s">
        <v>32</v>
      </c>
      <c r="O117" s="8" t="s">
        <v>32</v>
      </c>
      <c r="P117" s="11" t="s">
        <v>32</v>
      </c>
      <c r="Q117" s="71">
        <v>5.0552666999999998</v>
      </c>
      <c r="R117" s="12">
        <v>5.2416</v>
      </c>
      <c r="S117" s="72">
        <v>4.1773667000000003</v>
      </c>
      <c r="T117" s="69">
        <f t="shared" si="9"/>
        <v>48</v>
      </c>
      <c r="U117" s="23">
        <f t="shared" si="10"/>
        <v>1.9105316342024021E-2</v>
      </c>
      <c r="V117" s="8">
        <f t="shared" si="11"/>
        <v>2.014992468233899E-2</v>
      </c>
      <c r="W117" s="11">
        <f t="shared" si="12"/>
        <v>1.5115670384097044E-2</v>
      </c>
      <c r="X117" s="23" t="e">
        <f t="shared" si="14"/>
        <v>#DIV/0!</v>
      </c>
      <c r="Y117" s="8" t="e">
        <f t="shared" si="14"/>
        <v>#DIV/0!</v>
      </c>
      <c r="Z117" s="11" t="e">
        <f t="shared" si="14"/>
        <v>#DIV/0!</v>
      </c>
    </row>
    <row r="118" spans="1:26" x14ac:dyDescent="0.3">
      <c r="A118" s="69" t="s">
        <v>543</v>
      </c>
      <c r="B118" t="s">
        <v>657</v>
      </c>
      <c r="C118" t="s">
        <v>658</v>
      </c>
      <c r="D118" s="11" t="s">
        <v>659</v>
      </c>
      <c r="E118" s="23" t="s">
        <v>30</v>
      </c>
      <c r="F118" s="8">
        <v>1</v>
      </c>
      <c r="G118" s="11" t="s">
        <v>660</v>
      </c>
      <c r="H118" s="23">
        <v>4.4901562854647636</v>
      </c>
      <c r="I118" s="8">
        <v>4.0387501008808613</v>
      </c>
      <c r="J118" s="11">
        <v>3.8000000640749931</v>
      </c>
      <c r="K118" s="23">
        <v>9.9062500521540642</v>
      </c>
      <c r="L118" s="8">
        <v>9.8587499931454659</v>
      </c>
      <c r="M118" s="11">
        <v>9.8137499764561653</v>
      </c>
      <c r="N118" s="23" t="s">
        <v>32</v>
      </c>
      <c r="O118" s="8" t="s">
        <v>32</v>
      </c>
      <c r="P118" s="11" t="s">
        <v>32</v>
      </c>
      <c r="Q118" s="71">
        <v>4.7284667000000002</v>
      </c>
      <c r="R118" s="12">
        <v>11.219283000000001</v>
      </c>
      <c r="S118" s="72">
        <v>10.798733</v>
      </c>
      <c r="T118" s="69">
        <f t="shared" si="9"/>
        <v>48</v>
      </c>
      <c r="U118" s="23">
        <f t="shared" si="10"/>
        <v>1.9888398212852747E-2</v>
      </c>
      <c r="V118" s="8">
        <f t="shared" si="11"/>
        <v>4.7416774471917833E-2</v>
      </c>
      <c r="W118" s="11">
        <f t="shared" si="12"/>
        <v>4.5848652086387609E-2</v>
      </c>
      <c r="X118" s="23" t="e">
        <f t="shared" si="14"/>
        <v>#DIV/0!</v>
      </c>
      <c r="Y118" s="8" t="e">
        <f t="shared" si="14"/>
        <v>#DIV/0!</v>
      </c>
      <c r="Z118" s="11" t="e">
        <f t="shared" si="14"/>
        <v>#DIV/0!</v>
      </c>
    </row>
    <row r="119" spans="1:26" x14ac:dyDescent="0.3">
      <c r="A119" s="69" t="s">
        <v>543</v>
      </c>
      <c r="B119" t="s">
        <v>661</v>
      </c>
      <c r="C119" t="s">
        <v>662</v>
      </c>
      <c r="D119" s="11" t="s">
        <v>663</v>
      </c>
      <c r="E119" s="23" t="s">
        <v>30</v>
      </c>
      <c r="F119" s="8">
        <v>1</v>
      </c>
      <c r="G119" s="11" t="s">
        <v>664</v>
      </c>
      <c r="H119" s="23">
        <v>5.0632813014090061</v>
      </c>
      <c r="I119" s="8">
        <v>5.5587500333786011</v>
      </c>
      <c r="J119" s="11">
        <v>5.0774999894201756</v>
      </c>
      <c r="K119" s="23">
        <v>7.5162500143051147</v>
      </c>
      <c r="L119" s="8">
        <v>7.2187500074505806</v>
      </c>
      <c r="M119" s="11">
        <v>7.6625000685453415</v>
      </c>
      <c r="N119" s="23" t="s">
        <v>32</v>
      </c>
      <c r="O119" s="8" t="s">
        <v>32</v>
      </c>
      <c r="P119" s="11" t="s">
        <v>32</v>
      </c>
      <c r="Q119" s="71">
        <v>3.8183666999999999</v>
      </c>
      <c r="R119" s="12">
        <v>2.3488167</v>
      </c>
      <c r="S119" s="72">
        <v>3.6170333000000001</v>
      </c>
      <c r="T119" s="69">
        <f t="shared" si="9"/>
        <v>48</v>
      </c>
      <c r="U119" s="23">
        <f t="shared" si="10"/>
        <v>2.1167285840305944E-2</v>
      </c>
      <c r="V119" s="8">
        <f t="shared" si="11"/>
        <v>1.355738353579077E-2</v>
      </c>
      <c r="W119" s="11">
        <f t="shared" si="12"/>
        <v>1.9668478888763555E-2</v>
      </c>
      <c r="X119" s="23" t="e">
        <f t="shared" si="14"/>
        <v>#DIV/0!</v>
      </c>
      <c r="Y119" s="8" t="e">
        <f t="shared" si="14"/>
        <v>#DIV/0!</v>
      </c>
      <c r="Z119" s="11" t="e">
        <f t="shared" si="14"/>
        <v>#DIV/0!</v>
      </c>
    </row>
    <row r="120" spans="1:26" x14ac:dyDescent="0.3">
      <c r="A120" s="69" t="s">
        <v>543</v>
      </c>
      <c r="B120" s="23" t="s">
        <v>86</v>
      </c>
      <c r="C120" s="8" t="s">
        <v>86</v>
      </c>
      <c r="D120" s="11" t="s">
        <v>86</v>
      </c>
      <c r="E120" s="23" t="s">
        <v>87</v>
      </c>
      <c r="F120" s="8">
        <v>1</v>
      </c>
      <c r="G120" s="11" t="s">
        <v>559</v>
      </c>
      <c r="H120" s="23">
        <v>4.639374976977706</v>
      </c>
      <c r="I120" s="8">
        <v>4.7512499615550041</v>
      </c>
      <c r="J120" s="11">
        <v>4.3150000274181366</v>
      </c>
      <c r="K120" s="23">
        <v>10.930000059306622</v>
      </c>
      <c r="L120" s="8">
        <v>10.320000164210796</v>
      </c>
      <c r="M120" s="11">
        <v>10.738749802112579</v>
      </c>
      <c r="N120" s="23" t="s">
        <v>32</v>
      </c>
      <c r="O120" s="8" t="s">
        <v>32</v>
      </c>
      <c r="P120" s="11" t="s">
        <v>32</v>
      </c>
      <c r="Q120" s="71">
        <v>11.163083</v>
      </c>
      <c r="R120" s="12">
        <v>10.925267</v>
      </c>
      <c r="S120" s="72">
        <v>9.5123166999999995</v>
      </c>
      <c r="T120" s="69">
        <f t="shared" si="9"/>
        <v>48</v>
      </c>
      <c r="U120" s="23">
        <f t="shared" si="10"/>
        <v>4.2555210961530428E-2</v>
      </c>
      <c r="V120" s="8">
        <f t="shared" si="11"/>
        <v>4.411041192731855E-2</v>
      </c>
      <c r="W120" s="11">
        <f t="shared" si="12"/>
        <v>3.6908069977447042E-2</v>
      </c>
      <c r="X120" s="23" t="e">
        <f t="shared" si="14"/>
        <v>#DIV/0!</v>
      </c>
      <c r="Y120" s="8" t="e">
        <f t="shared" si="14"/>
        <v>#DIV/0!</v>
      </c>
      <c r="Z120" s="11" t="e">
        <f t="shared" si="14"/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Raghav Acharya</dc:creator>
  <cp:keywords/>
  <dc:description/>
  <cp:lastModifiedBy>Raghav Acharya</cp:lastModifiedBy>
  <cp:revision/>
  <dcterms:created xsi:type="dcterms:W3CDTF">2025-10-08T01:57:13Z</dcterms:created>
  <dcterms:modified xsi:type="dcterms:W3CDTF">2026-02-24T16:26:34Z</dcterms:modified>
  <cp:category/>
  <cp:contentStatus/>
</cp:coreProperties>
</file>